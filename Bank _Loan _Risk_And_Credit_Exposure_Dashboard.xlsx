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IT VEDANT\EXCEL\"/>
    </mc:Choice>
  </mc:AlternateContent>
  <xr:revisionPtr revIDLastSave="0" documentId="13_ncr:1_{21AFDF65-3215-4D12-89E7-B03179FF9F59}" xr6:coauthVersionLast="47" xr6:coauthVersionMax="47" xr10:uidLastSave="{00000000-0000-0000-0000-000000000000}"/>
  <bookViews>
    <workbookView xWindow="-108" yWindow="-108" windowWidth="23256" windowHeight="12456" activeTab="1" xr2:uid="{6538F767-E490-4EE6-8D77-81DC58E15AB2}"/>
  </bookViews>
  <sheets>
    <sheet name="pivot table" sheetId="3" r:id="rId1"/>
    <sheet name="dashboard" sheetId="4" r:id="rId2"/>
    <sheet name="dataset" sheetId="1" r:id="rId3"/>
  </sheets>
  <definedNames>
    <definedName name="_xlnm._FilterDatabase" localSheetId="2" hidden="1">dataset!$A$1:$R$501</definedName>
    <definedName name="Slicer_Loan_Purpose">#N/A</definedName>
    <definedName name="Slicer_Loan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 i="3" l="1"/>
  <c r="F7" i="3"/>
  <c r="F11" i="3"/>
  <c r="F13" i="3"/>
</calcChain>
</file>

<file path=xl/sharedStrings.xml><?xml version="1.0" encoding="utf-8"?>
<sst xmlns="http://schemas.openxmlformats.org/spreadsheetml/2006/main" count="4580" uniqueCount="568">
  <si>
    <t>Gender</t>
  </si>
  <si>
    <t>Income</t>
  </si>
  <si>
    <t>EMI</t>
  </si>
  <si>
    <t>Region</t>
  </si>
  <si>
    <t>L0001</t>
  </si>
  <si>
    <t>Ravi</t>
  </si>
  <si>
    <t>30 to 45</t>
  </si>
  <si>
    <t>Male</t>
  </si>
  <si>
    <t>Business</t>
  </si>
  <si>
    <t>Poor (&lt;550)</t>
  </si>
  <si>
    <t>Education</t>
  </si>
  <si>
    <t>North</t>
  </si>
  <si>
    <t>Approved</t>
  </si>
  <si>
    <t>L0002</t>
  </si>
  <si>
    <t>Rahul</t>
  </si>
  <si>
    <t>Self-Employed</t>
  </si>
  <si>
    <t xml:space="preserve">Fair (550-699) </t>
  </si>
  <si>
    <t>Car</t>
  </si>
  <si>
    <t>South</t>
  </si>
  <si>
    <t>L0003</t>
  </si>
  <si>
    <t>Ankit</t>
  </si>
  <si>
    <t>Female</t>
  </si>
  <si>
    <t>East</t>
  </si>
  <si>
    <t>L0004</t>
  </si>
  <si>
    <t>Kiran</t>
  </si>
  <si>
    <t>Salaried</t>
  </si>
  <si>
    <t>L0005</t>
  </si>
  <si>
    <t>Personal</t>
  </si>
  <si>
    <t>West</t>
  </si>
  <si>
    <t>Default</t>
  </si>
  <si>
    <t>L0006</t>
  </si>
  <si>
    <t>45+</t>
  </si>
  <si>
    <t>L0007</t>
  </si>
  <si>
    <t>Sneha</t>
  </si>
  <si>
    <t>Under 30</t>
  </si>
  <si>
    <t>L0008</t>
  </si>
  <si>
    <t>Pooja</t>
  </si>
  <si>
    <t>L0009</t>
  </si>
  <si>
    <t>L0010</t>
  </si>
  <si>
    <t>Suresh</t>
  </si>
  <si>
    <t>Good (700+)</t>
  </si>
  <si>
    <t>L0011</t>
  </si>
  <si>
    <t>Home</t>
  </si>
  <si>
    <t>Rejected</t>
  </si>
  <si>
    <t>L0012</t>
  </si>
  <si>
    <t>Amit</t>
  </si>
  <si>
    <t>L0013</t>
  </si>
  <si>
    <t>Neha</t>
  </si>
  <si>
    <t>L0014</t>
  </si>
  <si>
    <t>L0015</t>
  </si>
  <si>
    <t>L0016</t>
  </si>
  <si>
    <t>L0017</t>
  </si>
  <si>
    <t>Priya</t>
  </si>
  <si>
    <t>L0018</t>
  </si>
  <si>
    <t>L0019</t>
  </si>
  <si>
    <t>L0020</t>
  </si>
  <si>
    <t>L0021</t>
  </si>
  <si>
    <t>L0022</t>
  </si>
  <si>
    <t>L0023</t>
  </si>
  <si>
    <t>L0024</t>
  </si>
  <si>
    <t>L0025</t>
  </si>
  <si>
    <t>L0026</t>
  </si>
  <si>
    <t>L0027</t>
  </si>
  <si>
    <t>L0028</t>
  </si>
  <si>
    <t>L0029</t>
  </si>
  <si>
    <t>L0030</t>
  </si>
  <si>
    <t>L0031</t>
  </si>
  <si>
    <t>L0032</t>
  </si>
  <si>
    <t>L0033</t>
  </si>
  <si>
    <t>L0034</t>
  </si>
  <si>
    <t>L0035</t>
  </si>
  <si>
    <t>L0036</t>
  </si>
  <si>
    <t>L0037</t>
  </si>
  <si>
    <t>L0038</t>
  </si>
  <si>
    <t>L0039</t>
  </si>
  <si>
    <t>L0040</t>
  </si>
  <si>
    <t>L0041</t>
  </si>
  <si>
    <t>L0042</t>
  </si>
  <si>
    <t>L0043</t>
  </si>
  <si>
    <t>L0044</t>
  </si>
  <si>
    <t>L0045</t>
  </si>
  <si>
    <t>L0046</t>
  </si>
  <si>
    <t>L0047</t>
  </si>
  <si>
    <t>L0048</t>
  </si>
  <si>
    <t>L0049</t>
  </si>
  <si>
    <t>L0050</t>
  </si>
  <si>
    <t>L0051</t>
  </si>
  <si>
    <t>L0052</t>
  </si>
  <si>
    <t>L0053</t>
  </si>
  <si>
    <t>L0054</t>
  </si>
  <si>
    <t>L0055</t>
  </si>
  <si>
    <t>L0056</t>
  </si>
  <si>
    <t>L0057</t>
  </si>
  <si>
    <t>L0058</t>
  </si>
  <si>
    <t>L0059</t>
  </si>
  <si>
    <t>L0060</t>
  </si>
  <si>
    <t>L0061</t>
  </si>
  <si>
    <t>L0062</t>
  </si>
  <si>
    <t>L0063</t>
  </si>
  <si>
    <t>L0064</t>
  </si>
  <si>
    <t>L0065</t>
  </si>
  <si>
    <t>L0066</t>
  </si>
  <si>
    <t>L0067</t>
  </si>
  <si>
    <t>L0068</t>
  </si>
  <si>
    <t>L0069</t>
  </si>
  <si>
    <t>L0070</t>
  </si>
  <si>
    <t>L0071</t>
  </si>
  <si>
    <t>L0072</t>
  </si>
  <si>
    <t>L0073</t>
  </si>
  <si>
    <t>L0074</t>
  </si>
  <si>
    <t>L0075</t>
  </si>
  <si>
    <t>L0076</t>
  </si>
  <si>
    <t>L0077</t>
  </si>
  <si>
    <t>L0078</t>
  </si>
  <si>
    <t>L0079</t>
  </si>
  <si>
    <t>L0080</t>
  </si>
  <si>
    <t>L0081</t>
  </si>
  <si>
    <t>L0082</t>
  </si>
  <si>
    <t>L0083</t>
  </si>
  <si>
    <t>L0084</t>
  </si>
  <si>
    <t>L0085</t>
  </si>
  <si>
    <t>L0086</t>
  </si>
  <si>
    <t>L0087</t>
  </si>
  <si>
    <t>L0088</t>
  </si>
  <si>
    <t>L0089</t>
  </si>
  <si>
    <t>L0090</t>
  </si>
  <si>
    <t>L0091</t>
  </si>
  <si>
    <t>L0092</t>
  </si>
  <si>
    <t>L0093</t>
  </si>
  <si>
    <t>L0094</t>
  </si>
  <si>
    <t>L0095</t>
  </si>
  <si>
    <t>L0096</t>
  </si>
  <si>
    <t>L0097</t>
  </si>
  <si>
    <t>L0098</t>
  </si>
  <si>
    <t>L0099</t>
  </si>
  <si>
    <t>L0100</t>
  </si>
  <si>
    <t>L0101</t>
  </si>
  <si>
    <t>L0102</t>
  </si>
  <si>
    <t>L0103</t>
  </si>
  <si>
    <t>L0104</t>
  </si>
  <si>
    <t>L0105</t>
  </si>
  <si>
    <t>L0106</t>
  </si>
  <si>
    <t>L0107</t>
  </si>
  <si>
    <t>L0108</t>
  </si>
  <si>
    <t>L0109</t>
  </si>
  <si>
    <t>L0110</t>
  </si>
  <si>
    <t>L0111</t>
  </si>
  <si>
    <t>L0112</t>
  </si>
  <si>
    <t>L0113</t>
  </si>
  <si>
    <t>L0114</t>
  </si>
  <si>
    <t>L0115</t>
  </si>
  <si>
    <t>L0116</t>
  </si>
  <si>
    <t>L0117</t>
  </si>
  <si>
    <t>L0118</t>
  </si>
  <si>
    <t>L0119</t>
  </si>
  <si>
    <t>L0120</t>
  </si>
  <si>
    <t>L0121</t>
  </si>
  <si>
    <t>L0122</t>
  </si>
  <si>
    <t>L0123</t>
  </si>
  <si>
    <t>L0124</t>
  </si>
  <si>
    <t>L0125</t>
  </si>
  <si>
    <t>L0126</t>
  </si>
  <si>
    <t>L0127</t>
  </si>
  <si>
    <t>L0128</t>
  </si>
  <si>
    <t>L0129</t>
  </si>
  <si>
    <t>L0130</t>
  </si>
  <si>
    <t>L0131</t>
  </si>
  <si>
    <t>L0132</t>
  </si>
  <si>
    <t>L0133</t>
  </si>
  <si>
    <t>L0134</t>
  </si>
  <si>
    <t>L0135</t>
  </si>
  <si>
    <t>L0136</t>
  </si>
  <si>
    <t>L0137</t>
  </si>
  <si>
    <t>L0138</t>
  </si>
  <si>
    <t>L0139</t>
  </si>
  <si>
    <t>L0140</t>
  </si>
  <si>
    <t>L0141</t>
  </si>
  <si>
    <t>L0142</t>
  </si>
  <si>
    <t>L0143</t>
  </si>
  <si>
    <t>L0144</t>
  </si>
  <si>
    <t>L0145</t>
  </si>
  <si>
    <t>L0146</t>
  </si>
  <si>
    <t>L0147</t>
  </si>
  <si>
    <t>L0148</t>
  </si>
  <si>
    <t>L0149</t>
  </si>
  <si>
    <t>L0150</t>
  </si>
  <si>
    <t>L0151</t>
  </si>
  <si>
    <t>L0152</t>
  </si>
  <si>
    <t>L0153</t>
  </si>
  <si>
    <t>L0154</t>
  </si>
  <si>
    <t>L0155</t>
  </si>
  <si>
    <t>L0156</t>
  </si>
  <si>
    <t>L0157</t>
  </si>
  <si>
    <t>L0158</t>
  </si>
  <si>
    <t>L0159</t>
  </si>
  <si>
    <t>L0160</t>
  </si>
  <si>
    <t>L0161</t>
  </si>
  <si>
    <t>L0162</t>
  </si>
  <si>
    <t>L0163</t>
  </si>
  <si>
    <t>L0164</t>
  </si>
  <si>
    <t>L0165</t>
  </si>
  <si>
    <t>L0166</t>
  </si>
  <si>
    <t>L0167</t>
  </si>
  <si>
    <t>L0168</t>
  </si>
  <si>
    <t>L0169</t>
  </si>
  <si>
    <t>L0170</t>
  </si>
  <si>
    <t>L0171</t>
  </si>
  <si>
    <t>L0172</t>
  </si>
  <si>
    <t>L0173</t>
  </si>
  <si>
    <t>L0174</t>
  </si>
  <si>
    <t>L0175</t>
  </si>
  <si>
    <t>L0176</t>
  </si>
  <si>
    <t>L0177</t>
  </si>
  <si>
    <t>L0178</t>
  </si>
  <si>
    <t>L0179</t>
  </si>
  <si>
    <t>L0180</t>
  </si>
  <si>
    <t>L0181</t>
  </si>
  <si>
    <t>L0182</t>
  </si>
  <si>
    <t>L0183</t>
  </si>
  <si>
    <t>L0184</t>
  </si>
  <si>
    <t>L0185</t>
  </si>
  <si>
    <t>L0186</t>
  </si>
  <si>
    <t>L0187</t>
  </si>
  <si>
    <t>L0188</t>
  </si>
  <si>
    <t>L0189</t>
  </si>
  <si>
    <t>L0190</t>
  </si>
  <si>
    <t>L0191</t>
  </si>
  <si>
    <t>L0192</t>
  </si>
  <si>
    <t>L0193</t>
  </si>
  <si>
    <t>L0194</t>
  </si>
  <si>
    <t>L0195</t>
  </si>
  <si>
    <t>L0196</t>
  </si>
  <si>
    <t>L0197</t>
  </si>
  <si>
    <t>L0198</t>
  </si>
  <si>
    <t>L0199</t>
  </si>
  <si>
    <t>L0200</t>
  </si>
  <si>
    <t>L0201</t>
  </si>
  <si>
    <t>L0202</t>
  </si>
  <si>
    <t>L0203</t>
  </si>
  <si>
    <t>L0204</t>
  </si>
  <si>
    <t>L0205</t>
  </si>
  <si>
    <t>L0206</t>
  </si>
  <si>
    <t>L0207</t>
  </si>
  <si>
    <t>L0208</t>
  </si>
  <si>
    <t>L0209</t>
  </si>
  <si>
    <t>L0210</t>
  </si>
  <si>
    <t>L0211</t>
  </si>
  <si>
    <t>L0212</t>
  </si>
  <si>
    <t>L0213</t>
  </si>
  <si>
    <t>L0214</t>
  </si>
  <si>
    <t>L0215</t>
  </si>
  <si>
    <t>L0216</t>
  </si>
  <si>
    <t>L0217</t>
  </si>
  <si>
    <t>L0218</t>
  </si>
  <si>
    <t>L0219</t>
  </si>
  <si>
    <t>L0220</t>
  </si>
  <si>
    <t>L0221</t>
  </si>
  <si>
    <t>L0222</t>
  </si>
  <si>
    <t>L0223</t>
  </si>
  <si>
    <t>L0224</t>
  </si>
  <si>
    <t>L0225</t>
  </si>
  <si>
    <t>L0226</t>
  </si>
  <si>
    <t>L0227</t>
  </si>
  <si>
    <t>L0228</t>
  </si>
  <si>
    <t>L0229</t>
  </si>
  <si>
    <t>L0230</t>
  </si>
  <si>
    <t>L0231</t>
  </si>
  <si>
    <t>L0232</t>
  </si>
  <si>
    <t>L0233</t>
  </si>
  <si>
    <t>L0234</t>
  </si>
  <si>
    <t>L0235</t>
  </si>
  <si>
    <t>L0236</t>
  </si>
  <si>
    <t>L0237</t>
  </si>
  <si>
    <t>L0238</t>
  </si>
  <si>
    <t>L0239</t>
  </si>
  <si>
    <t>L0240</t>
  </si>
  <si>
    <t>L0241</t>
  </si>
  <si>
    <t>L0242</t>
  </si>
  <si>
    <t>L0243</t>
  </si>
  <si>
    <t>L0244</t>
  </si>
  <si>
    <t>L0245</t>
  </si>
  <si>
    <t>L0246</t>
  </si>
  <si>
    <t>L0247</t>
  </si>
  <si>
    <t>L0248</t>
  </si>
  <si>
    <t>L0249</t>
  </si>
  <si>
    <t>L0250</t>
  </si>
  <si>
    <t>L0251</t>
  </si>
  <si>
    <t>L0252</t>
  </si>
  <si>
    <t>L0253</t>
  </si>
  <si>
    <t>L0254</t>
  </si>
  <si>
    <t>L0255</t>
  </si>
  <si>
    <t>L0256</t>
  </si>
  <si>
    <t>L0257</t>
  </si>
  <si>
    <t>L0258</t>
  </si>
  <si>
    <t>L0259</t>
  </si>
  <si>
    <t>L0260</t>
  </si>
  <si>
    <t>L0261</t>
  </si>
  <si>
    <t>L0262</t>
  </si>
  <si>
    <t>L0263</t>
  </si>
  <si>
    <t>L0264</t>
  </si>
  <si>
    <t>L0265</t>
  </si>
  <si>
    <t>L0266</t>
  </si>
  <si>
    <t>L0267</t>
  </si>
  <si>
    <t>L0268</t>
  </si>
  <si>
    <t>L0269</t>
  </si>
  <si>
    <t>L0270</t>
  </si>
  <si>
    <t>L0271</t>
  </si>
  <si>
    <t>L0272</t>
  </si>
  <si>
    <t>L0273</t>
  </si>
  <si>
    <t>L0274</t>
  </si>
  <si>
    <t>L0275</t>
  </si>
  <si>
    <t>L0276</t>
  </si>
  <si>
    <t>L0277</t>
  </si>
  <si>
    <t>L0278</t>
  </si>
  <si>
    <t>L0279</t>
  </si>
  <si>
    <t>L0280</t>
  </si>
  <si>
    <t>L0281</t>
  </si>
  <si>
    <t>L0282</t>
  </si>
  <si>
    <t>L0283</t>
  </si>
  <si>
    <t>L0284</t>
  </si>
  <si>
    <t>L0285</t>
  </si>
  <si>
    <t>L0286</t>
  </si>
  <si>
    <t>L0287</t>
  </si>
  <si>
    <t>L0288</t>
  </si>
  <si>
    <t>L0289</t>
  </si>
  <si>
    <t>L0290</t>
  </si>
  <si>
    <t>L0291</t>
  </si>
  <si>
    <t>L0292</t>
  </si>
  <si>
    <t>L0293</t>
  </si>
  <si>
    <t>L0294</t>
  </si>
  <si>
    <t>L0295</t>
  </si>
  <si>
    <t>L0296</t>
  </si>
  <si>
    <t>L0297</t>
  </si>
  <si>
    <t>L0298</t>
  </si>
  <si>
    <t>L0299</t>
  </si>
  <si>
    <t>L0300</t>
  </si>
  <si>
    <t>L0301</t>
  </si>
  <si>
    <t>L0302</t>
  </si>
  <si>
    <t>L0303</t>
  </si>
  <si>
    <t>L0304</t>
  </si>
  <si>
    <t>L0305</t>
  </si>
  <si>
    <t>L0306</t>
  </si>
  <si>
    <t>L0307</t>
  </si>
  <si>
    <t>L0308</t>
  </si>
  <si>
    <t>L0309</t>
  </si>
  <si>
    <t>L0310</t>
  </si>
  <si>
    <t>L0311</t>
  </si>
  <si>
    <t>L0312</t>
  </si>
  <si>
    <t>L0313</t>
  </si>
  <si>
    <t>L0314</t>
  </si>
  <si>
    <t>L0315</t>
  </si>
  <si>
    <t>L0316</t>
  </si>
  <si>
    <t>L0317</t>
  </si>
  <si>
    <t>L0318</t>
  </si>
  <si>
    <t>L0319</t>
  </si>
  <si>
    <t>L0320</t>
  </si>
  <si>
    <t>L0321</t>
  </si>
  <si>
    <t>L0322</t>
  </si>
  <si>
    <t>L0323</t>
  </si>
  <si>
    <t>L0324</t>
  </si>
  <si>
    <t>L0325</t>
  </si>
  <si>
    <t>L0326</t>
  </si>
  <si>
    <t>L0327</t>
  </si>
  <si>
    <t>L0328</t>
  </si>
  <si>
    <t>L0329</t>
  </si>
  <si>
    <t>L0330</t>
  </si>
  <si>
    <t>L0331</t>
  </si>
  <si>
    <t>L0332</t>
  </si>
  <si>
    <t>L0333</t>
  </si>
  <si>
    <t>L0334</t>
  </si>
  <si>
    <t>L0335</t>
  </si>
  <si>
    <t>L0336</t>
  </si>
  <si>
    <t>L0337</t>
  </si>
  <si>
    <t>L0338</t>
  </si>
  <si>
    <t>L0339</t>
  </si>
  <si>
    <t>L0340</t>
  </si>
  <si>
    <t>L0341</t>
  </si>
  <si>
    <t>L0342</t>
  </si>
  <si>
    <t>L0343</t>
  </si>
  <si>
    <t>L0344</t>
  </si>
  <si>
    <t>L0345</t>
  </si>
  <si>
    <t>L0346</t>
  </si>
  <si>
    <t>L0347</t>
  </si>
  <si>
    <t>L0348</t>
  </si>
  <si>
    <t>L0349</t>
  </si>
  <si>
    <t>L0350</t>
  </si>
  <si>
    <t>L0351</t>
  </si>
  <si>
    <t>L0352</t>
  </si>
  <si>
    <t>L0353</t>
  </si>
  <si>
    <t>L0354</t>
  </si>
  <si>
    <t>L0355</t>
  </si>
  <si>
    <t>L0356</t>
  </si>
  <si>
    <t>L0357</t>
  </si>
  <si>
    <t>L0358</t>
  </si>
  <si>
    <t>L0359</t>
  </si>
  <si>
    <t>L0360</t>
  </si>
  <si>
    <t>L0361</t>
  </si>
  <si>
    <t>L0362</t>
  </si>
  <si>
    <t>L0363</t>
  </si>
  <si>
    <t>L0364</t>
  </si>
  <si>
    <t>L0365</t>
  </si>
  <si>
    <t>L0366</t>
  </si>
  <si>
    <t>L0367</t>
  </si>
  <si>
    <t>L0368</t>
  </si>
  <si>
    <t>L0369</t>
  </si>
  <si>
    <t>L0370</t>
  </si>
  <si>
    <t>L0371</t>
  </si>
  <si>
    <t>L0372</t>
  </si>
  <si>
    <t>L0373</t>
  </si>
  <si>
    <t>L0374</t>
  </si>
  <si>
    <t>L0375</t>
  </si>
  <si>
    <t>L0376</t>
  </si>
  <si>
    <t>L0377</t>
  </si>
  <si>
    <t>L0378</t>
  </si>
  <si>
    <t>L0379</t>
  </si>
  <si>
    <t>L0380</t>
  </si>
  <si>
    <t>L0381</t>
  </si>
  <si>
    <t>L0382</t>
  </si>
  <si>
    <t>L0383</t>
  </si>
  <si>
    <t>L0384</t>
  </si>
  <si>
    <t>L0385</t>
  </si>
  <si>
    <t>L0386</t>
  </si>
  <si>
    <t>L0387</t>
  </si>
  <si>
    <t>L0388</t>
  </si>
  <si>
    <t>L0389</t>
  </si>
  <si>
    <t>L0390</t>
  </si>
  <si>
    <t>L0391</t>
  </si>
  <si>
    <t>L0392</t>
  </si>
  <si>
    <t>L0393</t>
  </si>
  <si>
    <t>L0394</t>
  </si>
  <si>
    <t>L0395</t>
  </si>
  <si>
    <t>L0396</t>
  </si>
  <si>
    <t>L0397</t>
  </si>
  <si>
    <t>L0398</t>
  </si>
  <si>
    <t>L0399</t>
  </si>
  <si>
    <t>L0400</t>
  </si>
  <si>
    <t>L0401</t>
  </si>
  <si>
    <t>L0402</t>
  </si>
  <si>
    <t>L0403</t>
  </si>
  <si>
    <t>L0404</t>
  </si>
  <si>
    <t>L0405</t>
  </si>
  <si>
    <t>L0406</t>
  </si>
  <si>
    <t>L0407</t>
  </si>
  <si>
    <t>L0408</t>
  </si>
  <si>
    <t>L0409</t>
  </si>
  <si>
    <t>L0410</t>
  </si>
  <si>
    <t>L0411</t>
  </si>
  <si>
    <t>L0412</t>
  </si>
  <si>
    <t>L0413</t>
  </si>
  <si>
    <t>L0414</t>
  </si>
  <si>
    <t>L0415</t>
  </si>
  <si>
    <t>L0416</t>
  </si>
  <si>
    <t>L0417</t>
  </si>
  <si>
    <t>L0418</t>
  </si>
  <si>
    <t>L0419</t>
  </si>
  <si>
    <t>L0420</t>
  </si>
  <si>
    <t>L0421</t>
  </si>
  <si>
    <t>L0422</t>
  </si>
  <si>
    <t>L0423</t>
  </si>
  <si>
    <t>L0424</t>
  </si>
  <si>
    <t>L0425</t>
  </si>
  <si>
    <t>L0426</t>
  </si>
  <si>
    <t>L0427</t>
  </si>
  <si>
    <t>L0428</t>
  </si>
  <si>
    <t>L0429</t>
  </si>
  <si>
    <t>L0430</t>
  </si>
  <si>
    <t>L0431</t>
  </si>
  <si>
    <t>L0432</t>
  </si>
  <si>
    <t>L0433</t>
  </si>
  <si>
    <t>L0434</t>
  </si>
  <si>
    <t>L0435</t>
  </si>
  <si>
    <t>L0436</t>
  </si>
  <si>
    <t>L0437</t>
  </si>
  <si>
    <t>L0438</t>
  </si>
  <si>
    <t>L0439</t>
  </si>
  <si>
    <t>L0440</t>
  </si>
  <si>
    <t>L0441</t>
  </si>
  <si>
    <t>L0442</t>
  </si>
  <si>
    <t>L0443</t>
  </si>
  <si>
    <t>L0444</t>
  </si>
  <si>
    <t>L0445</t>
  </si>
  <si>
    <t>L0446</t>
  </si>
  <si>
    <t>L0447</t>
  </si>
  <si>
    <t>L0448</t>
  </si>
  <si>
    <t>L0449</t>
  </si>
  <si>
    <t>L0450</t>
  </si>
  <si>
    <t>L0451</t>
  </si>
  <si>
    <t>L0452</t>
  </si>
  <si>
    <t>L0453</t>
  </si>
  <si>
    <t>L0454</t>
  </si>
  <si>
    <t>L0455</t>
  </si>
  <si>
    <t>L0456</t>
  </si>
  <si>
    <t>L0457</t>
  </si>
  <si>
    <t>L0458</t>
  </si>
  <si>
    <t>L0459</t>
  </si>
  <si>
    <t>L0460</t>
  </si>
  <si>
    <t>L0461</t>
  </si>
  <si>
    <t>L0462</t>
  </si>
  <si>
    <t>L0463</t>
  </si>
  <si>
    <t>L0464</t>
  </si>
  <si>
    <t>L0465</t>
  </si>
  <si>
    <t>L0466</t>
  </si>
  <si>
    <t>L0467</t>
  </si>
  <si>
    <t>L0468</t>
  </si>
  <si>
    <t>L0469</t>
  </si>
  <si>
    <t>L0470</t>
  </si>
  <si>
    <t>L0471</t>
  </si>
  <si>
    <t>L0472</t>
  </si>
  <si>
    <t>L0473</t>
  </si>
  <si>
    <t>L0474</t>
  </si>
  <si>
    <t>L0475</t>
  </si>
  <si>
    <t>L0476</t>
  </si>
  <si>
    <t>L0477</t>
  </si>
  <si>
    <t>L0478</t>
  </si>
  <si>
    <t>L0479</t>
  </si>
  <si>
    <t>L0480</t>
  </si>
  <si>
    <t>L0481</t>
  </si>
  <si>
    <t>L0482</t>
  </si>
  <si>
    <t>L0483</t>
  </si>
  <si>
    <t>L0484</t>
  </si>
  <si>
    <t>L0485</t>
  </si>
  <si>
    <t>L0486</t>
  </si>
  <si>
    <t>L0487</t>
  </si>
  <si>
    <t>L0488</t>
  </si>
  <si>
    <t>L0489</t>
  </si>
  <si>
    <t>L0490</t>
  </si>
  <si>
    <t>L0491</t>
  </si>
  <si>
    <t>L0492</t>
  </si>
  <si>
    <t>L0493</t>
  </si>
  <si>
    <t>L0494</t>
  </si>
  <si>
    <t>L0495</t>
  </si>
  <si>
    <t>L0496</t>
  </si>
  <si>
    <t>L0497</t>
  </si>
  <si>
    <t>L0498</t>
  </si>
  <si>
    <t>L0499</t>
  </si>
  <si>
    <t>L0500</t>
  </si>
  <si>
    <t>🔹 KPI List (Top of Dashboard)</t>
  </si>
  <si>
    <t>Total Loans</t>
  </si>
  <si>
    <t xml:space="preserve">Approval Rate </t>
  </si>
  <si>
    <t>Default Rate</t>
  </si>
  <si>
    <t>Avg Loan Amount</t>
  </si>
  <si>
    <t>Avg Credit Score</t>
  </si>
  <si>
    <t>Count of Loan ID</t>
  </si>
  <si>
    <t>Row Labels</t>
  </si>
  <si>
    <t>Grand Total</t>
  </si>
  <si>
    <t>Sum of Credit Score</t>
  </si>
  <si>
    <t>Sum of Loan Amount</t>
  </si>
  <si>
    <t>Sum of Default Flag</t>
  </si>
  <si>
    <t>rows = 501</t>
  </si>
  <si>
    <t>columns =19</t>
  </si>
  <si>
    <t>Column Labels</t>
  </si>
  <si>
    <t>(All)</t>
  </si>
  <si>
    <t xml:space="preserve">   </t>
  </si>
  <si>
    <t>(blank)</t>
  </si>
  <si>
    <t>Loan_ID</t>
  </si>
  <si>
    <t>Customer_Name</t>
  </si>
  <si>
    <t>Customer_Age</t>
  </si>
  <si>
    <t>Age_Group</t>
  </si>
  <si>
    <t>Employment _Type</t>
  </si>
  <si>
    <t>Credit_Score</t>
  </si>
  <si>
    <t>Credit_Score _Group</t>
  </si>
  <si>
    <t>Loan_Amount</t>
  </si>
  <si>
    <t>Loan_Term_(Years)</t>
  </si>
  <si>
    <t>Interest_Rate</t>
  </si>
  <si>
    <t>Loan_Purpose</t>
  </si>
  <si>
    <t>Application_Date</t>
  </si>
  <si>
    <t>Loan_Status</t>
  </si>
  <si>
    <t>Default_Flag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</si>
</sst>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3.5"/>
      <color theme="1"/>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0" fillId="0" borderId="0" xfId="0" applyAlignment="1">
      <alignment horizontal="center"/>
    </xf>
    <xf numFmtId="0" fontId="1" fillId="0" borderId="0" xfId="0" applyFont="1" applyAlignment="1">
      <alignment vertical="center"/>
    </xf>
    <xf numFmtId="0" fontId="0" fillId="0" borderId="0" xfId="0" applyAlignment="1">
      <alignment horizontal="left" vertical="center" indent="1"/>
    </xf>
    <xf numFmtId="0" fontId="0" fillId="0" borderId="0" xfId="0" pivotButton="1"/>
    <xf numFmtId="0" fontId="0" fillId="0" borderId="0" xfId="0" applyAlignment="1">
      <alignment horizontal="left"/>
    </xf>
    <xf numFmtId="0" fontId="0" fillId="0" borderId="0" xfId="0" applyNumberFormat="1"/>
    <xf numFmtId="0" fontId="0" fillId="3" borderId="2" xfId="0" applyFill="1" applyBorder="1" applyAlignment="1">
      <alignment horizontal="center"/>
    </xf>
    <xf numFmtId="0" fontId="0" fillId="3" borderId="1" xfId="0" applyFill="1" applyBorder="1" applyAlignment="1">
      <alignment horizontal="center"/>
    </xf>
    <xf numFmtId="164" fontId="0" fillId="3" borderId="1" xfId="0" applyNumberFormat="1" applyFill="1" applyBorder="1" applyAlignment="1">
      <alignment horizontal="center"/>
    </xf>
    <xf numFmtId="0" fontId="0" fillId="3" borderId="3"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164" fontId="0" fillId="3" borderId="8" xfId="0" applyNumberFormat="1" applyFill="1" applyBorder="1" applyAlignment="1">
      <alignment horizontal="center"/>
    </xf>
    <xf numFmtId="0" fontId="0" fillId="3" borderId="9" xfId="0"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0" borderId="0" xfId="0" applyFont="1" applyAlignment="1">
      <alignment horizontal="center"/>
    </xf>
  </cellXfs>
  <cellStyles count="1">
    <cellStyle name="Normal" xfId="0" builtinId="0"/>
  </cellStyles>
  <dxfs count="23">
    <dxf>
      <font>
        <strike val="0"/>
        <outline val="0"/>
        <shadow val="0"/>
        <u val="none"/>
        <vertAlign val="baseline"/>
        <sz val="11"/>
        <color auto="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yyyy\-mm\-dd"/>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_Loan _Risk_And_Credit_Exposure_Dashboard.xlsx]pivot table!PivotTable21</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Loan</a:t>
            </a:r>
            <a:r>
              <a:rPr lang="en-US" b="1" baseline="0">
                <a:solidFill>
                  <a:schemeClr val="tx1"/>
                </a:solidFill>
              </a:rPr>
              <a:t> Status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13829632096396"/>
          <c:y val="0.26516126621718727"/>
          <c:w val="0.53516387247965314"/>
          <c:h val="0.6740311823503542"/>
        </c:manualLayout>
      </c:layout>
      <c:pie3DChart>
        <c:varyColors val="1"/>
        <c:ser>
          <c:idx val="0"/>
          <c:order val="0"/>
          <c:tx>
            <c:strRef>
              <c:f>'pivot table'!$B$14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623-4C20-838D-400DADE8F86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623-4C20-838D-400DADE8F86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623-4C20-838D-400DADE8F86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0FB-4BA2-B25A-5F882F8109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table'!$A$15:$A$19</c:f>
              <c:strCache>
                <c:ptCount val="4"/>
                <c:pt idx="0">
                  <c:v>Approved</c:v>
                </c:pt>
                <c:pt idx="1">
                  <c:v>Default</c:v>
                </c:pt>
                <c:pt idx="2">
                  <c:v>Rejected</c:v>
                </c:pt>
                <c:pt idx="3">
                  <c:v>(blank)</c:v>
                </c:pt>
              </c:strCache>
            </c:strRef>
          </c:cat>
          <c:val>
            <c:numRef>
              <c:f>'pivot table'!$B$15:$B$19</c:f>
              <c:numCache>
                <c:formatCode>General</c:formatCode>
                <c:ptCount val="4"/>
                <c:pt idx="0">
                  <c:v>284</c:v>
                </c:pt>
                <c:pt idx="1">
                  <c:v>86</c:v>
                </c:pt>
                <c:pt idx="2">
                  <c:v>130</c:v>
                </c:pt>
              </c:numCache>
            </c:numRef>
          </c:val>
          <c:extLst>
            <c:ext xmlns:c16="http://schemas.microsoft.com/office/drawing/2014/chart" uri="{C3380CC4-5D6E-409C-BE32-E72D297353CC}">
              <c16:uniqueId val="{00000006-B623-4C20-838D-400DADE8F861}"/>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_Loan _Risk_And_Credit_Exposure_Dashboard.xlsx]pivot table!PivotTable30</c:name>
    <c:fmtId val="4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Income</a:t>
            </a:r>
            <a:r>
              <a:rPr lang="en-US" b="1" baseline="0">
                <a:solidFill>
                  <a:schemeClr val="tx1"/>
                </a:solidFill>
              </a:rPr>
              <a:t>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table'!$A$36:$A$41</c:f>
              <c:strCache>
                <c:ptCount val="5"/>
                <c:pt idx="0">
                  <c:v>East</c:v>
                </c:pt>
                <c:pt idx="1">
                  <c:v>North</c:v>
                </c:pt>
                <c:pt idx="2">
                  <c:v>South</c:v>
                </c:pt>
                <c:pt idx="3">
                  <c:v>West</c:v>
                </c:pt>
                <c:pt idx="4">
                  <c:v>(blank)</c:v>
                </c:pt>
              </c:strCache>
            </c:strRef>
          </c:cat>
          <c:val>
            <c:numRef>
              <c:f>'pivot table'!$B$36:$B$41</c:f>
              <c:numCache>
                <c:formatCode>General</c:formatCode>
                <c:ptCount val="5"/>
                <c:pt idx="0">
                  <c:v>128659575</c:v>
                </c:pt>
                <c:pt idx="1">
                  <c:v>130501115</c:v>
                </c:pt>
                <c:pt idx="2">
                  <c:v>125839032</c:v>
                </c:pt>
                <c:pt idx="3">
                  <c:v>141988961</c:v>
                </c:pt>
              </c:numCache>
            </c:numRef>
          </c:val>
          <c:smooth val="0"/>
          <c:extLst>
            <c:ext xmlns:c16="http://schemas.microsoft.com/office/drawing/2014/chart" uri="{C3380CC4-5D6E-409C-BE32-E72D297353CC}">
              <c16:uniqueId val="{00000000-E147-4836-939A-4D501D07D4DD}"/>
            </c:ext>
          </c:extLst>
        </c:ser>
        <c:dLbls>
          <c:showLegendKey val="0"/>
          <c:showVal val="0"/>
          <c:showCatName val="0"/>
          <c:showSerName val="0"/>
          <c:showPercent val="0"/>
          <c:showBubbleSize val="0"/>
        </c:dLbls>
        <c:marker val="1"/>
        <c:smooth val="0"/>
        <c:axId val="787493568"/>
        <c:axId val="787491408"/>
      </c:lineChart>
      <c:catAx>
        <c:axId val="78749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491408"/>
        <c:crosses val="autoZero"/>
        <c:auto val="1"/>
        <c:lblAlgn val="ctr"/>
        <c:lblOffset val="100"/>
        <c:noMultiLvlLbl val="0"/>
      </c:catAx>
      <c:valAx>
        <c:axId val="7874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49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_Loan _Risk_And_Credit_Exposure_Dashboard.xlsx]pivot table!PivotTable28</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Risk</a:t>
            </a:r>
            <a:r>
              <a:rPr lang="en-US" b="1" baseline="0">
                <a:solidFill>
                  <a:sysClr val="windowText" lastClr="000000"/>
                </a:solidFill>
              </a:rPr>
              <a:t> Analysis By Credit Score</a:t>
            </a:r>
            <a:endParaRPr lang="en-US" b="1">
              <a:solidFill>
                <a:sysClr val="windowText" lastClr="000000"/>
              </a:solidFill>
            </a:endParaRPr>
          </a:p>
        </c:rich>
      </c:tx>
      <c:layout>
        <c:manualLayout>
          <c:xMode val="edge"/>
          <c:yMode val="edge"/>
          <c:x val="0.16963184239508053"/>
          <c:y val="3.30996549817065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Total</c:v>
                </c:pt>
              </c:strCache>
            </c:strRef>
          </c:tx>
          <c:spPr>
            <a:solidFill>
              <a:schemeClr val="accent1"/>
            </a:solidFill>
            <a:ln>
              <a:noFill/>
            </a:ln>
            <a:effectLst/>
          </c:spPr>
          <c:invertIfNegative val="0"/>
          <c:cat>
            <c:strRef>
              <c:f>'pivot table'!$A$29:$A$32</c:f>
              <c:strCache>
                <c:ptCount val="3"/>
                <c:pt idx="0">
                  <c:v>Fair (550-699) </c:v>
                </c:pt>
                <c:pt idx="1">
                  <c:v>Good (700+)</c:v>
                </c:pt>
                <c:pt idx="2">
                  <c:v>Poor (&lt;550)</c:v>
                </c:pt>
              </c:strCache>
            </c:strRef>
          </c:cat>
          <c:val>
            <c:numRef>
              <c:f>'pivot table'!$B$29:$B$32</c:f>
              <c:numCache>
                <c:formatCode>General</c:formatCode>
                <c:ptCount val="3"/>
                <c:pt idx="0">
                  <c:v>23</c:v>
                </c:pt>
                <c:pt idx="1">
                  <c:v>19</c:v>
                </c:pt>
                <c:pt idx="2">
                  <c:v>44</c:v>
                </c:pt>
              </c:numCache>
            </c:numRef>
          </c:val>
          <c:extLst>
            <c:ext xmlns:c16="http://schemas.microsoft.com/office/drawing/2014/chart" uri="{C3380CC4-5D6E-409C-BE32-E72D297353CC}">
              <c16:uniqueId val="{00000000-20CD-4F1F-8674-69E2BB1E1BAA}"/>
            </c:ext>
          </c:extLst>
        </c:ser>
        <c:dLbls>
          <c:showLegendKey val="0"/>
          <c:showVal val="0"/>
          <c:showCatName val="0"/>
          <c:showSerName val="0"/>
          <c:showPercent val="0"/>
          <c:showBubbleSize val="0"/>
        </c:dLbls>
        <c:gapWidth val="219"/>
        <c:overlap val="-27"/>
        <c:axId val="746411624"/>
        <c:axId val="698093776"/>
      </c:barChart>
      <c:catAx>
        <c:axId val="746411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093776"/>
        <c:crosses val="autoZero"/>
        <c:auto val="1"/>
        <c:lblAlgn val="ctr"/>
        <c:lblOffset val="100"/>
        <c:noMultiLvlLbl val="0"/>
      </c:catAx>
      <c:valAx>
        <c:axId val="69809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411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_Loan _Risk_And_Credit_Exposure_Dashboard.xlsx]pivot table!PivotTable27</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Risk</a:t>
            </a:r>
            <a:r>
              <a:rPr lang="en-US" b="1" baseline="0">
                <a:solidFill>
                  <a:sysClr val="windowText" lastClr="000000"/>
                </a:solidFill>
              </a:rPr>
              <a:t> Analysis by Age Group</a:t>
            </a:r>
            <a:endParaRPr lang="en-US" b="1">
              <a:solidFill>
                <a:sysClr val="windowText" lastClr="000000"/>
              </a:solidFill>
            </a:endParaRPr>
          </a:p>
        </c:rich>
      </c:tx>
      <c:layout>
        <c:manualLayout>
          <c:xMode val="edge"/>
          <c:yMode val="edge"/>
          <c:x val="0.14163917703566986"/>
          <c:y val="5.78231079579052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table'!$A$22:$A$25</c:f>
              <c:strCache>
                <c:ptCount val="3"/>
                <c:pt idx="0">
                  <c:v>30 to 45</c:v>
                </c:pt>
                <c:pt idx="1">
                  <c:v>45+</c:v>
                </c:pt>
                <c:pt idx="2">
                  <c:v>Under 30</c:v>
                </c:pt>
              </c:strCache>
            </c:strRef>
          </c:cat>
          <c:val>
            <c:numRef>
              <c:f>'pivot table'!$B$22:$B$25</c:f>
              <c:numCache>
                <c:formatCode>General</c:formatCode>
                <c:ptCount val="3"/>
                <c:pt idx="0">
                  <c:v>32</c:v>
                </c:pt>
                <c:pt idx="1">
                  <c:v>40</c:v>
                </c:pt>
                <c:pt idx="2">
                  <c:v>14</c:v>
                </c:pt>
              </c:numCache>
            </c:numRef>
          </c:val>
          <c:extLst>
            <c:ext xmlns:c16="http://schemas.microsoft.com/office/drawing/2014/chart" uri="{C3380CC4-5D6E-409C-BE32-E72D297353CC}">
              <c16:uniqueId val="{00000000-6D7B-45B8-AE1E-9E1A712A659F}"/>
            </c:ext>
          </c:extLst>
        </c:ser>
        <c:dLbls>
          <c:showLegendKey val="0"/>
          <c:showVal val="0"/>
          <c:showCatName val="0"/>
          <c:showSerName val="0"/>
          <c:showPercent val="0"/>
          <c:showBubbleSize val="0"/>
        </c:dLbls>
        <c:gapWidth val="219"/>
        <c:overlap val="-27"/>
        <c:axId val="784122040"/>
        <c:axId val="784120600"/>
      </c:barChart>
      <c:catAx>
        <c:axId val="784122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120600"/>
        <c:crosses val="autoZero"/>
        <c:auto val="1"/>
        <c:lblAlgn val="ctr"/>
        <c:lblOffset val="100"/>
        <c:noMultiLvlLbl val="0"/>
      </c:catAx>
      <c:valAx>
        <c:axId val="784120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122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_Loan _Risk_And_Credit_Exposure_Dashboard.xlsx]pivot table!PivotTable20</c:name>
    <c:fmtId val="1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Distribution</a:t>
            </a:r>
            <a:r>
              <a:rPr lang="en-US" b="1" baseline="0">
                <a:solidFill>
                  <a:sysClr val="windowText" lastClr="000000"/>
                </a:solidFill>
              </a:rPr>
              <a:t> by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76-4D67-804A-70DCC26006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76-4D67-804A-70DCC26006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76-4D67-804A-70DCC26006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table'!$A$8:$A$11</c:f>
              <c:strCache>
                <c:ptCount val="3"/>
                <c:pt idx="0">
                  <c:v>Female</c:v>
                </c:pt>
                <c:pt idx="1">
                  <c:v>Male</c:v>
                </c:pt>
                <c:pt idx="2">
                  <c:v>(blank)</c:v>
                </c:pt>
              </c:strCache>
            </c:strRef>
          </c:cat>
          <c:val>
            <c:numRef>
              <c:f>'pivot table'!$B$8:$B$11</c:f>
              <c:numCache>
                <c:formatCode>General</c:formatCode>
                <c:ptCount val="3"/>
                <c:pt idx="0">
                  <c:v>237</c:v>
                </c:pt>
                <c:pt idx="1">
                  <c:v>263</c:v>
                </c:pt>
              </c:numCache>
            </c:numRef>
          </c:val>
          <c:extLst>
            <c:ext xmlns:c16="http://schemas.microsoft.com/office/drawing/2014/chart" uri="{C3380CC4-5D6E-409C-BE32-E72D297353CC}">
              <c16:uniqueId val="{00000006-2876-4D67-804A-70DCC260069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_Loan _Risk_And_Credit_Exposure_Dashboard.xlsx]pivot table!PivotTable32</c:name>
    <c:fmtId val="5"/>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table'!$B$46:$B$47</c:f>
              <c:strCache>
                <c:ptCount val="1"/>
                <c:pt idx="0">
                  <c:v>Business</c:v>
                </c:pt>
              </c:strCache>
            </c:strRef>
          </c:tx>
          <c:spPr>
            <a:solidFill>
              <a:schemeClr val="accent1"/>
            </a:solidFill>
            <a:ln>
              <a:noFill/>
            </a:ln>
            <a:effectLst/>
          </c:spPr>
          <c:invertIfNegative val="0"/>
          <c:cat>
            <c:strRef>
              <c:f>'pivot table'!$A$48:$A$52</c:f>
              <c:strCache>
                <c:ptCount val="4"/>
                <c:pt idx="0">
                  <c:v>Business</c:v>
                </c:pt>
                <c:pt idx="1">
                  <c:v>Salaried</c:v>
                </c:pt>
                <c:pt idx="2">
                  <c:v>Self-Employed</c:v>
                </c:pt>
                <c:pt idx="3">
                  <c:v>(blank)</c:v>
                </c:pt>
              </c:strCache>
            </c:strRef>
          </c:cat>
          <c:val>
            <c:numRef>
              <c:f>'pivot table'!$B$48:$B$52</c:f>
              <c:numCache>
                <c:formatCode>General</c:formatCode>
                <c:ptCount val="4"/>
                <c:pt idx="0">
                  <c:v>34</c:v>
                </c:pt>
                <c:pt idx="1">
                  <c:v>34</c:v>
                </c:pt>
                <c:pt idx="2">
                  <c:v>33</c:v>
                </c:pt>
              </c:numCache>
            </c:numRef>
          </c:val>
          <c:extLst>
            <c:ext xmlns:c16="http://schemas.microsoft.com/office/drawing/2014/chart" uri="{C3380CC4-5D6E-409C-BE32-E72D297353CC}">
              <c16:uniqueId val="{00000000-54FF-43CC-8BAD-471404A096FF}"/>
            </c:ext>
          </c:extLst>
        </c:ser>
        <c:ser>
          <c:idx val="1"/>
          <c:order val="1"/>
          <c:tx>
            <c:strRef>
              <c:f>'pivot table'!$C$46:$C$47</c:f>
              <c:strCache>
                <c:ptCount val="1"/>
                <c:pt idx="0">
                  <c:v>Car</c:v>
                </c:pt>
              </c:strCache>
            </c:strRef>
          </c:tx>
          <c:spPr>
            <a:solidFill>
              <a:schemeClr val="accent2"/>
            </a:solidFill>
            <a:ln>
              <a:noFill/>
            </a:ln>
            <a:effectLst/>
          </c:spPr>
          <c:invertIfNegative val="0"/>
          <c:cat>
            <c:strRef>
              <c:f>'pivot table'!$A$48:$A$52</c:f>
              <c:strCache>
                <c:ptCount val="4"/>
                <c:pt idx="0">
                  <c:v>Business</c:v>
                </c:pt>
                <c:pt idx="1">
                  <c:v>Salaried</c:v>
                </c:pt>
                <c:pt idx="2">
                  <c:v>Self-Employed</c:v>
                </c:pt>
                <c:pt idx="3">
                  <c:v>(blank)</c:v>
                </c:pt>
              </c:strCache>
            </c:strRef>
          </c:cat>
          <c:val>
            <c:numRef>
              <c:f>'pivot table'!$C$48:$C$52</c:f>
              <c:numCache>
                <c:formatCode>General</c:formatCode>
                <c:ptCount val="4"/>
                <c:pt idx="0">
                  <c:v>31</c:v>
                </c:pt>
                <c:pt idx="1">
                  <c:v>36</c:v>
                </c:pt>
                <c:pt idx="2">
                  <c:v>38</c:v>
                </c:pt>
              </c:numCache>
            </c:numRef>
          </c:val>
          <c:extLst>
            <c:ext xmlns:c16="http://schemas.microsoft.com/office/drawing/2014/chart" uri="{C3380CC4-5D6E-409C-BE32-E72D297353CC}">
              <c16:uniqueId val="{00000011-D8A9-49FE-B478-724A15AD2466}"/>
            </c:ext>
          </c:extLst>
        </c:ser>
        <c:ser>
          <c:idx val="2"/>
          <c:order val="2"/>
          <c:tx>
            <c:strRef>
              <c:f>'pivot table'!$D$46:$D$47</c:f>
              <c:strCache>
                <c:ptCount val="1"/>
                <c:pt idx="0">
                  <c:v>Education</c:v>
                </c:pt>
              </c:strCache>
            </c:strRef>
          </c:tx>
          <c:spPr>
            <a:solidFill>
              <a:schemeClr val="accent3"/>
            </a:solidFill>
            <a:ln>
              <a:noFill/>
            </a:ln>
            <a:effectLst/>
          </c:spPr>
          <c:invertIfNegative val="0"/>
          <c:cat>
            <c:strRef>
              <c:f>'pivot table'!$A$48:$A$52</c:f>
              <c:strCache>
                <c:ptCount val="4"/>
                <c:pt idx="0">
                  <c:v>Business</c:v>
                </c:pt>
                <c:pt idx="1">
                  <c:v>Salaried</c:v>
                </c:pt>
                <c:pt idx="2">
                  <c:v>Self-Employed</c:v>
                </c:pt>
                <c:pt idx="3">
                  <c:v>(blank)</c:v>
                </c:pt>
              </c:strCache>
            </c:strRef>
          </c:cat>
          <c:val>
            <c:numRef>
              <c:f>'pivot table'!$D$48:$D$52</c:f>
              <c:numCache>
                <c:formatCode>General</c:formatCode>
                <c:ptCount val="4"/>
                <c:pt idx="0">
                  <c:v>31</c:v>
                </c:pt>
                <c:pt idx="1">
                  <c:v>23</c:v>
                </c:pt>
                <c:pt idx="2">
                  <c:v>39</c:v>
                </c:pt>
              </c:numCache>
            </c:numRef>
          </c:val>
          <c:extLst>
            <c:ext xmlns:c16="http://schemas.microsoft.com/office/drawing/2014/chart" uri="{C3380CC4-5D6E-409C-BE32-E72D297353CC}">
              <c16:uniqueId val="{00000012-D8A9-49FE-B478-724A15AD2466}"/>
            </c:ext>
          </c:extLst>
        </c:ser>
        <c:ser>
          <c:idx val="3"/>
          <c:order val="3"/>
          <c:tx>
            <c:strRef>
              <c:f>'pivot table'!$E$46:$E$47</c:f>
              <c:strCache>
                <c:ptCount val="1"/>
                <c:pt idx="0">
                  <c:v>Home</c:v>
                </c:pt>
              </c:strCache>
            </c:strRef>
          </c:tx>
          <c:spPr>
            <a:solidFill>
              <a:schemeClr val="accent4"/>
            </a:solidFill>
            <a:ln>
              <a:noFill/>
            </a:ln>
            <a:effectLst/>
          </c:spPr>
          <c:invertIfNegative val="0"/>
          <c:cat>
            <c:strRef>
              <c:f>'pivot table'!$A$48:$A$52</c:f>
              <c:strCache>
                <c:ptCount val="4"/>
                <c:pt idx="0">
                  <c:v>Business</c:v>
                </c:pt>
                <c:pt idx="1">
                  <c:v>Salaried</c:v>
                </c:pt>
                <c:pt idx="2">
                  <c:v>Self-Employed</c:v>
                </c:pt>
                <c:pt idx="3">
                  <c:v>(blank)</c:v>
                </c:pt>
              </c:strCache>
            </c:strRef>
          </c:cat>
          <c:val>
            <c:numRef>
              <c:f>'pivot table'!$E$48:$E$52</c:f>
              <c:numCache>
                <c:formatCode>General</c:formatCode>
                <c:ptCount val="4"/>
                <c:pt idx="0">
                  <c:v>28</c:v>
                </c:pt>
                <c:pt idx="1">
                  <c:v>39</c:v>
                </c:pt>
                <c:pt idx="2">
                  <c:v>37</c:v>
                </c:pt>
              </c:numCache>
            </c:numRef>
          </c:val>
          <c:extLst>
            <c:ext xmlns:c16="http://schemas.microsoft.com/office/drawing/2014/chart" uri="{C3380CC4-5D6E-409C-BE32-E72D297353CC}">
              <c16:uniqueId val="{00000013-D8A9-49FE-B478-724A15AD2466}"/>
            </c:ext>
          </c:extLst>
        </c:ser>
        <c:ser>
          <c:idx val="4"/>
          <c:order val="4"/>
          <c:tx>
            <c:strRef>
              <c:f>'pivot table'!$F$46:$F$47</c:f>
              <c:strCache>
                <c:ptCount val="1"/>
                <c:pt idx="0">
                  <c:v>Personal</c:v>
                </c:pt>
              </c:strCache>
            </c:strRef>
          </c:tx>
          <c:spPr>
            <a:solidFill>
              <a:schemeClr val="accent5"/>
            </a:solidFill>
            <a:ln>
              <a:noFill/>
            </a:ln>
            <a:effectLst/>
          </c:spPr>
          <c:invertIfNegative val="0"/>
          <c:cat>
            <c:strRef>
              <c:f>'pivot table'!$A$48:$A$52</c:f>
              <c:strCache>
                <c:ptCount val="4"/>
                <c:pt idx="0">
                  <c:v>Business</c:v>
                </c:pt>
                <c:pt idx="1">
                  <c:v>Salaried</c:v>
                </c:pt>
                <c:pt idx="2">
                  <c:v>Self-Employed</c:v>
                </c:pt>
                <c:pt idx="3">
                  <c:v>(blank)</c:v>
                </c:pt>
              </c:strCache>
            </c:strRef>
          </c:cat>
          <c:val>
            <c:numRef>
              <c:f>'pivot table'!$F$48:$F$52</c:f>
              <c:numCache>
                <c:formatCode>General</c:formatCode>
                <c:ptCount val="4"/>
                <c:pt idx="0">
                  <c:v>42</c:v>
                </c:pt>
                <c:pt idx="1">
                  <c:v>29</c:v>
                </c:pt>
                <c:pt idx="2">
                  <c:v>26</c:v>
                </c:pt>
              </c:numCache>
            </c:numRef>
          </c:val>
          <c:extLst>
            <c:ext xmlns:c16="http://schemas.microsoft.com/office/drawing/2014/chart" uri="{C3380CC4-5D6E-409C-BE32-E72D297353CC}">
              <c16:uniqueId val="{00000014-D8A9-49FE-B478-724A15AD2466}"/>
            </c:ext>
          </c:extLst>
        </c:ser>
        <c:ser>
          <c:idx val="5"/>
          <c:order val="5"/>
          <c:tx>
            <c:strRef>
              <c:f>'pivot table'!$G$46:$G$47</c:f>
              <c:strCache>
                <c:ptCount val="1"/>
                <c:pt idx="0">
                  <c:v>(blank)</c:v>
                </c:pt>
              </c:strCache>
            </c:strRef>
          </c:tx>
          <c:spPr>
            <a:solidFill>
              <a:schemeClr val="accent6"/>
            </a:solidFill>
            <a:ln>
              <a:noFill/>
            </a:ln>
            <a:effectLst/>
          </c:spPr>
          <c:invertIfNegative val="0"/>
          <c:cat>
            <c:strRef>
              <c:f>'pivot table'!$A$48:$A$52</c:f>
              <c:strCache>
                <c:ptCount val="4"/>
                <c:pt idx="0">
                  <c:v>Business</c:v>
                </c:pt>
                <c:pt idx="1">
                  <c:v>Salaried</c:v>
                </c:pt>
                <c:pt idx="2">
                  <c:v>Self-Employed</c:v>
                </c:pt>
                <c:pt idx="3">
                  <c:v>(blank)</c:v>
                </c:pt>
              </c:strCache>
            </c:strRef>
          </c:cat>
          <c:val>
            <c:numRef>
              <c:f>'pivot table'!$G$48:$G$52</c:f>
              <c:numCache>
                <c:formatCode>General</c:formatCode>
                <c:ptCount val="4"/>
              </c:numCache>
            </c:numRef>
          </c:val>
          <c:extLst>
            <c:ext xmlns:c16="http://schemas.microsoft.com/office/drawing/2014/chart" uri="{C3380CC4-5D6E-409C-BE32-E72D297353CC}">
              <c16:uniqueId val="{00000015-D8A9-49FE-B478-724A15AD2466}"/>
            </c:ext>
          </c:extLst>
        </c:ser>
        <c:dLbls>
          <c:showLegendKey val="0"/>
          <c:showVal val="0"/>
          <c:showCatName val="0"/>
          <c:showSerName val="0"/>
          <c:showPercent val="0"/>
          <c:showBubbleSize val="0"/>
        </c:dLbls>
        <c:gapWidth val="150"/>
        <c:axId val="698280440"/>
        <c:axId val="698282240"/>
      </c:barChart>
      <c:catAx>
        <c:axId val="698280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82240"/>
        <c:crosses val="autoZero"/>
        <c:auto val="1"/>
        <c:lblAlgn val="ctr"/>
        <c:lblOffset val="100"/>
        <c:noMultiLvlLbl val="0"/>
      </c:catAx>
      <c:valAx>
        <c:axId val="69828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80440"/>
        <c:crosses val="autoZero"/>
        <c:crossBetween val="between"/>
      </c:valAx>
      <c:spPr>
        <a:noFill/>
        <a:ln>
          <a:noFill/>
        </a:ln>
        <a:effectLst/>
      </c:spPr>
    </c:plotArea>
    <c:legend>
      <c:legendPos val="r"/>
      <c:layout>
        <c:manualLayout>
          <c:xMode val="edge"/>
          <c:yMode val="edge"/>
          <c:x val="0.79854111986001752"/>
          <c:y val="0.27163220692902945"/>
          <c:w val="0.14790825376981848"/>
          <c:h val="0.676596591034654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35859</xdr:colOff>
      <xdr:row>1</xdr:row>
      <xdr:rowOff>71717</xdr:rowOff>
    </xdr:from>
    <xdr:to>
      <xdr:col>18</xdr:col>
      <xdr:colOff>448236</xdr:colOff>
      <xdr:row>33</xdr:row>
      <xdr:rowOff>35858</xdr:rowOff>
    </xdr:to>
    <xdr:sp macro="" textlink="">
      <xdr:nvSpPr>
        <xdr:cNvPr id="3" name="Rectangle: Rounded Corners 2">
          <a:extLst>
            <a:ext uri="{FF2B5EF4-FFF2-40B4-BE49-F238E27FC236}">
              <a16:creationId xmlns:a16="http://schemas.microsoft.com/office/drawing/2014/main" id="{0D4B73AF-3E63-94AE-06A5-5F55E78C1AE5}"/>
            </a:ext>
          </a:extLst>
        </xdr:cNvPr>
        <xdr:cNvSpPr/>
      </xdr:nvSpPr>
      <xdr:spPr>
        <a:xfrm>
          <a:off x="645459" y="251011"/>
          <a:ext cx="10775577" cy="5701553"/>
        </a:xfrm>
        <a:prstGeom prst="roundRect">
          <a:avLst>
            <a:gd name="adj" fmla="val 36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224118</xdr:colOff>
      <xdr:row>1</xdr:row>
      <xdr:rowOff>71717</xdr:rowOff>
    </xdr:from>
    <xdr:to>
      <xdr:col>19</xdr:col>
      <xdr:colOff>26895</xdr:colOff>
      <xdr:row>33</xdr:row>
      <xdr:rowOff>35858</xdr:rowOff>
    </xdr:to>
    <xdr:sp macro="" textlink="">
      <xdr:nvSpPr>
        <xdr:cNvPr id="6" name="Rectangle: Rounded Corners 5">
          <a:extLst>
            <a:ext uri="{FF2B5EF4-FFF2-40B4-BE49-F238E27FC236}">
              <a16:creationId xmlns:a16="http://schemas.microsoft.com/office/drawing/2014/main" id="{521D5583-BBE4-488F-9566-626C8D6EECE0}"/>
            </a:ext>
          </a:extLst>
        </xdr:cNvPr>
        <xdr:cNvSpPr/>
      </xdr:nvSpPr>
      <xdr:spPr>
        <a:xfrm>
          <a:off x="833718" y="251011"/>
          <a:ext cx="10775577" cy="5701553"/>
        </a:xfrm>
        <a:prstGeom prst="roundRect">
          <a:avLst>
            <a:gd name="adj" fmla="val 3617"/>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322731</xdr:colOff>
      <xdr:row>10</xdr:row>
      <xdr:rowOff>170330</xdr:rowOff>
    </xdr:from>
    <xdr:to>
      <xdr:col>4</xdr:col>
      <xdr:colOff>331695</xdr:colOff>
      <xdr:row>21</xdr:row>
      <xdr:rowOff>134472</xdr:rowOff>
    </xdr:to>
    <xdr:graphicFrame macro="">
      <xdr:nvGraphicFramePr>
        <xdr:cNvPr id="8" name="Chart 7">
          <a:extLst>
            <a:ext uri="{FF2B5EF4-FFF2-40B4-BE49-F238E27FC236}">
              <a16:creationId xmlns:a16="http://schemas.microsoft.com/office/drawing/2014/main" id="{660BF131-5DFE-4FE9-8647-519D77A42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519955</xdr:colOff>
      <xdr:row>10</xdr:row>
      <xdr:rowOff>179293</xdr:rowOff>
    </xdr:from>
    <xdr:to>
      <xdr:col>11</xdr:col>
      <xdr:colOff>179295</xdr:colOff>
      <xdr:row>21</xdr:row>
      <xdr:rowOff>116542</xdr:rowOff>
    </xdr:to>
    <xdr:graphicFrame macro="">
      <xdr:nvGraphicFramePr>
        <xdr:cNvPr id="9" name="Chart 8">
          <a:extLst>
            <a:ext uri="{FF2B5EF4-FFF2-40B4-BE49-F238E27FC236}">
              <a16:creationId xmlns:a16="http://schemas.microsoft.com/office/drawing/2014/main" id="{50B4CD50-BAB6-49B4-BEA5-08876D0D3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251013</xdr:colOff>
      <xdr:row>10</xdr:row>
      <xdr:rowOff>179290</xdr:rowOff>
    </xdr:from>
    <xdr:to>
      <xdr:col>14</xdr:col>
      <xdr:colOff>537883</xdr:colOff>
      <xdr:row>21</xdr:row>
      <xdr:rowOff>125504</xdr:rowOff>
    </xdr:to>
    <xdr:graphicFrame macro="">
      <xdr:nvGraphicFramePr>
        <xdr:cNvPr id="10" name="Chart 9">
          <a:extLst>
            <a:ext uri="{FF2B5EF4-FFF2-40B4-BE49-F238E27FC236}">
              <a16:creationId xmlns:a16="http://schemas.microsoft.com/office/drawing/2014/main" id="{360005D3-5103-49E8-860B-CEFC6AEA3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8964</xdr:colOff>
      <xdr:row>11</xdr:row>
      <xdr:rowOff>2</xdr:rowOff>
    </xdr:from>
    <xdr:to>
      <xdr:col>18</xdr:col>
      <xdr:colOff>493058</xdr:colOff>
      <xdr:row>21</xdr:row>
      <xdr:rowOff>107579</xdr:rowOff>
    </xdr:to>
    <xdr:graphicFrame macro="">
      <xdr:nvGraphicFramePr>
        <xdr:cNvPr id="12" name="Chart 11">
          <a:extLst>
            <a:ext uri="{FF2B5EF4-FFF2-40B4-BE49-F238E27FC236}">
              <a16:creationId xmlns:a16="http://schemas.microsoft.com/office/drawing/2014/main" id="{4AF27F14-23EA-40A6-AFBC-4E696B87D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170329</xdr:colOff>
      <xdr:row>2</xdr:row>
      <xdr:rowOff>2</xdr:rowOff>
    </xdr:from>
    <xdr:to>
      <xdr:col>18</xdr:col>
      <xdr:colOff>466165</xdr:colOff>
      <xdr:row>4</xdr:row>
      <xdr:rowOff>107578</xdr:rowOff>
    </xdr:to>
    <xdr:sp macro="" textlink="">
      <xdr:nvSpPr>
        <xdr:cNvPr id="15" name="Rectangle: Rounded Corners 14">
          <a:extLst>
            <a:ext uri="{FF2B5EF4-FFF2-40B4-BE49-F238E27FC236}">
              <a16:creationId xmlns:a16="http://schemas.microsoft.com/office/drawing/2014/main" id="{2FBF8360-217B-A90A-7121-798E31585F8E}"/>
            </a:ext>
          </a:extLst>
        </xdr:cNvPr>
        <xdr:cNvSpPr/>
      </xdr:nvSpPr>
      <xdr:spPr>
        <a:xfrm>
          <a:off x="5047129" y="358590"/>
          <a:ext cx="6391836" cy="4661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430306</xdr:colOff>
      <xdr:row>10</xdr:row>
      <xdr:rowOff>170331</xdr:rowOff>
    </xdr:from>
    <xdr:to>
      <xdr:col>7</xdr:col>
      <xdr:colOff>439271</xdr:colOff>
      <xdr:row>21</xdr:row>
      <xdr:rowOff>125506</xdr:rowOff>
    </xdr:to>
    <xdr:graphicFrame macro="">
      <xdr:nvGraphicFramePr>
        <xdr:cNvPr id="16" name="Chart 15">
          <a:extLst>
            <a:ext uri="{FF2B5EF4-FFF2-40B4-BE49-F238E27FC236}">
              <a16:creationId xmlns:a16="http://schemas.microsoft.com/office/drawing/2014/main" id="{9DB216A9-8C09-4CC3-A267-5787DDE8D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268940</xdr:colOff>
      <xdr:row>22</xdr:row>
      <xdr:rowOff>17929</xdr:rowOff>
    </xdr:from>
    <xdr:to>
      <xdr:col>18</xdr:col>
      <xdr:colOff>502023</xdr:colOff>
      <xdr:row>32</xdr:row>
      <xdr:rowOff>125506</xdr:rowOff>
    </xdr:to>
    <xdr:graphicFrame macro="">
      <xdr:nvGraphicFramePr>
        <xdr:cNvPr id="17" name="Chart 16">
          <a:extLst>
            <a:ext uri="{FF2B5EF4-FFF2-40B4-BE49-F238E27FC236}">
              <a16:creationId xmlns:a16="http://schemas.microsoft.com/office/drawing/2014/main" id="{BCF0F785-9284-41D3-8D9F-07D5012D3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340660</xdr:colOff>
      <xdr:row>2</xdr:row>
      <xdr:rowOff>8965</xdr:rowOff>
    </xdr:from>
    <xdr:to>
      <xdr:col>3</xdr:col>
      <xdr:colOff>349624</xdr:colOff>
      <xdr:row>10</xdr:row>
      <xdr:rowOff>107577</xdr:rowOff>
    </xdr:to>
    <mc:AlternateContent xmlns:mc="http://schemas.openxmlformats.org/markup-compatibility/2006" xmlns:a14="http://schemas.microsoft.com/office/drawing/2010/main">
      <mc:Choice Requires="a14">
        <xdr:graphicFrame macro="">
          <xdr:nvGraphicFramePr>
            <xdr:cNvPr id="18" name="Loan Purpose">
              <a:extLst>
                <a:ext uri="{FF2B5EF4-FFF2-40B4-BE49-F238E27FC236}">
                  <a16:creationId xmlns:a16="http://schemas.microsoft.com/office/drawing/2014/main" id="{6BE53B73-8438-4E43-BFE7-47A4A86DC16E}"/>
                </a:ext>
              </a:extLst>
            </xdr:cNvPr>
            <xdr:cNvGraphicFramePr/>
          </xdr:nvGraphicFramePr>
          <xdr:xfrm>
            <a:off x="0" y="0"/>
            <a:ext cx="0" cy="0"/>
          </xdr:xfrm>
          <a:graphic>
            <a:graphicData uri="http://schemas.microsoft.com/office/drawing/2010/slicer">
              <sle:slicer xmlns:sle="http://schemas.microsoft.com/office/drawing/2010/slicer" name="Loan Purpose"/>
            </a:graphicData>
          </a:graphic>
        </xdr:graphicFrame>
      </mc:Choice>
      <mc:Fallback xmlns="">
        <xdr:sp macro="" textlink="">
          <xdr:nvSpPr>
            <xdr:cNvPr id="0" name=""/>
            <xdr:cNvSpPr>
              <a:spLocks noTextEdit="1"/>
            </xdr:cNvSpPr>
          </xdr:nvSpPr>
          <xdr:spPr>
            <a:xfrm>
              <a:off x="950260" y="367553"/>
              <a:ext cx="1891552" cy="1532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277906</xdr:colOff>
      <xdr:row>2</xdr:row>
      <xdr:rowOff>2</xdr:rowOff>
    </xdr:from>
    <xdr:to>
      <xdr:col>18</xdr:col>
      <xdr:colOff>475130</xdr:colOff>
      <xdr:row>4</xdr:row>
      <xdr:rowOff>107577</xdr:rowOff>
    </xdr:to>
    <xdr:sp macro="" textlink="">
      <xdr:nvSpPr>
        <xdr:cNvPr id="19" name="Rectangle: Rounded Corners 18">
          <a:extLst>
            <a:ext uri="{FF2B5EF4-FFF2-40B4-BE49-F238E27FC236}">
              <a16:creationId xmlns:a16="http://schemas.microsoft.com/office/drawing/2014/main" id="{19DBFD29-3953-4A52-9DA6-3083DF523098}"/>
            </a:ext>
          </a:extLst>
        </xdr:cNvPr>
        <xdr:cNvSpPr/>
      </xdr:nvSpPr>
      <xdr:spPr>
        <a:xfrm>
          <a:off x="5154706" y="358590"/>
          <a:ext cx="6293224" cy="46616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ysClr val="windowText" lastClr="000000"/>
              </a:solidFill>
            </a:rPr>
            <a:t>Bank</a:t>
          </a:r>
          <a:r>
            <a:rPr lang="en-IN" sz="2400" b="1" baseline="0">
              <a:solidFill>
                <a:sysClr val="windowText" lastClr="000000"/>
              </a:solidFill>
            </a:rPr>
            <a:t> Loan Risk And Credit Exposure Dashboard</a:t>
          </a:r>
          <a:endParaRPr lang="en-IN" sz="2400" b="1">
            <a:solidFill>
              <a:sysClr val="windowText" lastClr="000000"/>
            </a:solidFill>
          </a:endParaRPr>
        </a:p>
      </xdr:txBody>
    </xdr:sp>
    <xdr:clientData/>
  </xdr:twoCellAnchor>
  <xdr:twoCellAnchor>
    <xdr:from>
      <xdr:col>8</xdr:col>
      <xdr:colOff>143434</xdr:colOff>
      <xdr:row>5</xdr:row>
      <xdr:rowOff>98612</xdr:rowOff>
    </xdr:from>
    <xdr:to>
      <xdr:col>10</xdr:col>
      <xdr:colOff>134469</xdr:colOff>
      <xdr:row>10</xdr:row>
      <xdr:rowOff>17930</xdr:rowOff>
    </xdr:to>
    <xdr:sp macro="" textlink="">
      <xdr:nvSpPr>
        <xdr:cNvPr id="20" name="Rectangle: Rounded Corners 19">
          <a:extLst>
            <a:ext uri="{FF2B5EF4-FFF2-40B4-BE49-F238E27FC236}">
              <a16:creationId xmlns:a16="http://schemas.microsoft.com/office/drawing/2014/main" id="{2E0DC499-38F8-C085-5645-AECBDB660CDE}"/>
            </a:ext>
          </a:extLst>
        </xdr:cNvPr>
        <xdr:cNvSpPr/>
      </xdr:nvSpPr>
      <xdr:spPr>
        <a:xfrm>
          <a:off x="5020234" y="995083"/>
          <a:ext cx="1210235" cy="8157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268940</xdr:colOff>
      <xdr:row>5</xdr:row>
      <xdr:rowOff>98613</xdr:rowOff>
    </xdr:from>
    <xdr:to>
      <xdr:col>10</xdr:col>
      <xdr:colOff>143435</xdr:colOff>
      <xdr:row>10</xdr:row>
      <xdr:rowOff>17931</xdr:rowOff>
    </xdr:to>
    <xdr:sp macro="" textlink="">
      <xdr:nvSpPr>
        <xdr:cNvPr id="21" name="Rectangle: Rounded Corners 20">
          <a:extLst>
            <a:ext uri="{FF2B5EF4-FFF2-40B4-BE49-F238E27FC236}">
              <a16:creationId xmlns:a16="http://schemas.microsoft.com/office/drawing/2014/main" id="{D2B47418-620A-4A37-AA73-49642FFC10F0}"/>
            </a:ext>
          </a:extLst>
        </xdr:cNvPr>
        <xdr:cNvSpPr/>
      </xdr:nvSpPr>
      <xdr:spPr>
        <a:xfrm>
          <a:off x="5145740" y="995084"/>
          <a:ext cx="1093695" cy="81578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0" i="0" u="none" strike="noStrike">
              <a:solidFill>
                <a:schemeClr val="dk1"/>
              </a:solidFill>
              <a:effectLst/>
              <a:latin typeface="+mn-lt"/>
              <a:ea typeface="+mn-ea"/>
              <a:cs typeface="+mn-cs"/>
            </a:rPr>
            <a:t>Total Loans</a:t>
          </a:r>
          <a:r>
            <a:rPr lang="en-IN" sz="1400">
              <a:effectLst/>
            </a:rPr>
            <a:t> </a:t>
          </a:r>
          <a:endParaRPr lang="en-IN" sz="1400" b="0" i="0" u="none" strike="noStrike">
            <a:solidFill>
              <a:schemeClr val="dk1"/>
            </a:solidFill>
            <a:effectLst/>
            <a:latin typeface="+mn-lt"/>
            <a:ea typeface="+mn-ea"/>
            <a:cs typeface="+mn-cs"/>
          </a:endParaRPr>
        </a:p>
        <a:p>
          <a:pPr algn="ctr"/>
          <a:r>
            <a:rPr lang="en-IN" sz="1400" b="0" i="0" u="none" strike="noStrike">
              <a:solidFill>
                <a:schemeClr val="dk1"/>
              </a:solidFill>
              <a:effectLst/>
              <a:latin typeface="+mn-lt"/>
              <a:ea typeface="+mn-ea"/>
              <a:cs typeface="+mn-cs"/>
            </a:rPr>
            <a:t>500</a:t>
          </a:r>
          <a:endParaRPr lang="en-IN" sz="1400"/>
        </a:p>
      </xdr:txBody>
    </xdr:sp>
    <xdr:clientData/>
  </xdr:twoCellAnchor>
  <xdr:twoCellAnchor>
    <xdr:from>
      <xdr:col>16</xdr:col>
      <xdr:colOff>466165</xdr:colOff>
      <xdr:row>5</xdr:row>
      <xdr:rowOff>89646</xdr:rowOff>
    </xdr:from>
    <xdr:to>
      <xdr:col>18</xdr:col>
      <xdr:colOff>457200</xdr:colOff>
      <xdr:row>10</xdr:row>
      <xdr:rowOff>8964</xdr:rowOff>
    </xdr:to>
    <xdr:sp macro="" textlink="">
      <xdr:nvSpPr>
        <xdr:cNvPr id="22" name="Rectangle: Rounded Corners 21">
          <a:extLst>
            <a:ext uri="{FF2B5EF4-FFF2-40B4-BE49-F238E27FC236}">
              <a16:creationId xmlns:a16="http://schemas.microsoft.com/office/drawing/2014/main" id="{8FE5EB51-CC04-4588-B792-515A731FADCC}"/>
            </a:ext>
          </a:extLst>
        </xdr:cNvPr>
        <xdr:cNvSpPr/>
      </xdr:nvSpPr>
      <xdr:spPr>
        <a:xfrm>
          <a:off x="10219765" y="986117"/>
          <a:ext cx="1210235" cy="8157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376518</xdr:colOff>
      <xdr:row>5</xdr:row>
      <xdr:rowOff>107576</xdr:rowOff>
    </xdr:from>
    <xdr:to>
      <xdr:col>16</xdr:col>
      <xdr:colOff>367553</xdr:colOff>
      <xdr:row>10</xdr:row>
      <xdr:rowOff>26894</xdr:rowOff>
    </xdr:to>
    <xdr:sp macro="" textlink="">
      <xdr:nvSpPr>
        <xdr:cNvPr id="23" name="Rectangle: Rounded Corners 22">
          <a:extLst>
            <a:ext uri="{FF2B5EF4-FFF2-40B4-BE49-F238E27FC236}">
              <a16:creationId xmlns:a16="http://schemas.microsoft.com/office/drawing/2014/main" id="{D46D04F0-3BCB-46B5-AF1E-FCDE99954E94}"/>
            </a:ext>
          </a:extLst>
        </xdr:cNvPr>
        <xdr:cNvSpPr/>
      </xdr:nvSpPr>
      <xdr:spPr>
        <a:xfrm>
          <a:off x="8910918" y="1004047"/>
          <a:ext cx="1210235" cy="8157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259977</xdr:colOff>
      <xdr:row>5</xdr:row>
      <xdr:rowOff>98611</xdr:rowOff>
    </xdr:from>
    <xdr:to>
      <xdr:col>14</xdr:col>
      <xdr:colOff>251012</xdr:colOff>
      <xdr:row>10</xdr:row>
      <xdr:rowOff>17929</xdr:rowOff>
    </xdr:to>
    <xdr:sp macro="" textlink="">
      <xdr:nvSpPr>
        <xdr:cNvPr id="24" name="Rectangle: Rounded Corners 23">
          <a:extLst>
            <a:ext uri="{FF2B5EF4-FFF2-40B4-BE49-F238E27FC236}">
              <a16:creationId xmlns:a16="http://schemas.microsoft.com/office/drawing/2014/main" id="{4DB16436-7896-40EE-A5F9-5F036B2BD71B}"/>
            </a:ext>
          </a:extLst>
        </xdr:cNvPr>
        <xdr:cNvSpPr/>
      </xdr:nvSpPr>
      <xdr:spPr>
        <a:xfrm>
          <a:off x="7575177" y="995082"/>
          <a:ext cx="1210235" cy="8157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215152</xdr:colOff>
      <xdr:row>5</xdr:row>
      <xdr:rowOff>116541</xdr:rowOff>
    </xdr:from>
    <xdr:to>
      <xdr:col>12</xdr:col>
      <xdr:colOff>179293</xdr:colOff>
      <xdr:row>10</xdr:row>
      <xdr:rowOff>26895</xdr:rowOff>
    </xdr:to>
    <xdr:sp macro="" textlink="">
      <xdr:nvSpPr>
        <xdr:cNvPr id="25" name="Rectangle: Rounded Corners 24">
          <a:extLst>
            <a:ext uri="{FF2B5EF4-FFF2-40B4-BE49-F238E27FC236}">
              <a16:creationId xmlns:a16="http://schemas.microsoft.com/office/drawing/2014/main" id="{3D7F097B-B851-4219-8C5D-4BA88D18F89C}"/>
            </a:ext>
          </a:extLst>
        </xdr:cNvPr>
        <xdr:cNvSpPr/>
      </xdr:nvSpPr>
      <xdr:spPr>
        <a:xfrm>
          <a:off x="6311152" y="1013012"/>
          <a:ext cx="1183341" cy="8068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313766</xdr:colOff>
      <xdr:row>5</xdr:row>
      <xdr:rowOff>98608</xdr:rowOff>
    </xdr:from>
    <xdr:to>
      <xdr:col>12</xdr:col>
      <xdr:colOff>179294</xdr:colOff>
      <xdr:row>10</xdr:row>
      <xdr:rowOff>26893</xdr:rowOff>
    </xdr:to>
    <xdr:sp macro="" textlink="">
      <xdr:nvSpPr>
        <xdr:cNvPr id="26" name="Rectangle: Rounded Corners 25">
          <a:extLst>
            <a:ext uri="{FF2B5EF4-FFF2-40B4-BE49-F238E27FC236}">
              <a16:creationId xmlns:a16="http://schemas.microsoft.com/office/drawing/2014/main" id="{5C439973-6074-454B-B0D5-8C17CA09EF27}"/>
            </a:ext>
          </a:extLst>
        </xdr:cNvPr>
        <xdr:cNvSpPr/>
      </xdr:nvSpPr>
      <xdr:spPr>
        <a:xfrm>
          <a:off x="6409766" y="995079"/>
          <a:ext cx="1084728" cy="82475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i="0" u="none" strike="noStrike">
              <a:solidFill>
                <a:sysClr val="windowText" lastClr="000000"/>
              </a:solidFill>
              <a:effectLst/>
              <a:latin typeface="+mn-lt"/>
              <a:ea typeface="+mn-ea"/>
              <a:cs typeface="+mn-cs"/>
            </a:rPr>
            <a:t>Approval</a:t>
          </a:r>
          <a:endParaRPr lang="en-IN" sz="1400" b="0" i="0" u="none" strike="noStrike" baseline="0">
            <a:solidFill>
              <a:sysClr val="windowText" lastClr="000000"/>
            </a:solidFill>
            <a:effectLst/>
            <a:latin typeface="+mn-lt"/>
            <a:ea typeface="+mn-ea"/>
            <a:cs typeface="+mn-cs"/>
          </a:endParaRPr>
        </a:p>
        <a:p>
          <a:pPr algn="ctr"/>
          <a:r>
            <a:rPr lang="en-IN" sz="1400" b="0" i="0" u="none" strike="noStrike">
              <a:solidFill>
                <a:sysClr val="windowText" lastClr="000000"/>
              </a:solidFill>
              <a:effectLst/>
              <a:latin typeface="+mn-lt"/>
              <a:ea typeface="+mn-ea"/>
              <a:cs typeface="+mn-cs"/>
            </a:rPr>
            <a:t>Rate    56.8</a:t>
          </a:r>
          <a:r>
            <a:rPr lang="en-IN" sz="1400" b="0" i="0" u="none" strike="noStrike">
              <a:solidFill>
                <a:schemeClr val="lt1"/>
              </a:solidFill>
              <a:effectLst/>
              <a:latin typeface="+mn-lt"/>
              <a:ea typeface="+mn-ea"/>
              <a:cs typeface="+mn-cs"/>
            </a:rPr>
            <a:t>Rate </a:t>
          </a:r>
          <a:r>
            <a:rPr lang="en-IN" sz="1400">
              <a:effectLst/>
            </a:rPr>
            <a:t> </a:t>
          </a:r>
          <a:endParaRPr lang="en-IN" sz="1400"/>
        </a:p>
      </xdr:txBody>
    </xdr:sp>
    <xdr:clientData/>
  </xdr:twoCellAnchor>
  <xdr:twoCellAnchor>
    <xdr:from>
      <xdr:col>12</xdr:col>
      <xdr:colOff>394447</xdr:colOff>
      <xdr:row>5</xdr:row>
      <xdr:rowOff>98612</xdr:rowOff>
    </xdr:from>
    <xdr:to>
      <xdr:col>14</xdr:col>
      <xdr:colOff>268942</xdr:colOff>
      <xdr:row>10</xdr:row>
      <xdr:rowOff>17930</xdr:rowOff>
    </xdr:to>
    <xdr:sp macro="" textlink="">
      <xdr:nvSpPr>
        <xdr:cNvPr id="28" name="Rectangle: Rounded Corners 27">
          <a:extLst>
            <a:ext uri="{FF2B5EF4-FFF2-40B4-BE49-F238E27FC236}">
              <a16:creationId xmlns:a16="http://schemas.microsoft.com/office/drawing/2014/main" id="{AB01473C-333A-42F0-ACF4-57B23FF76CA8}"/>
            </a:ext>
          </a:extLst>
        </xdr:cNvPr>
        <xdr:cNvSpPr/>
      </xdr:nvSpPr>
      <xdr:spPr>
        <a:xfrm>
          <a:off x="7709647" y="995083"/>
          <a:ext cx="1093695" cy="81578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rPr>
            <a:t>Default  Rate</a:t>
          </a:r>
        </a:p>
        <a:p>
          <a:pPr algn="ctr"/>
          <a:r>
            <a:rPr lang="en-IN" sz="1200">
              <a:solidFill>
                <a:sysClr val="windowText" lastClr="000000"/>
              </a:solidFill>
            </a:rPr>
            <a:t>17.2</a:t>
          </a:r>
        </a:p>
      </xdr:txBody>
    </xdr:sp>
    <xdr:clientData/>
  </xdr:twoCellAnchor>
  <xdr:twoCellAnchor>
    <xdr:from>
      <xdr:col>14</xdr:col>
      <xdr:colOff>502024</xdr:colOff>
      <xdr:row>5</xdr:row>
      <xdr:rowOff>98611</xdr:rowOff>
    </xdr:from>
    <xdr:to>
      <xdr:col>16</xdr:col>
      <xdr:colOff>376519</xdr:colOff>
      <xdr:row>10</xdr:row>
      <xdr:rowOff>17929</xdr:rowOff>
    </xdr:to>
    <xdr:sp macro="" textlink="">
      <xdr:nvSpPr>
        <xdr:cNvPr id="29" name="Rectangle: Rounded Corners 28">
          <a:extLst>
            <a:ext uri="{FF2B5EF4-FFF2-40B4-BE49-F238E27FC236}">
              <a16:creationId xmlns:a16="http://schemas.microsoft.com/office/drawing/2014/main" id="{E5B6EC7E-D860-4A67-8376-A465C1FDBF8F}"/>
            </a:ext>
          </a:extLst>
        </xdr:cNvPr>
        <xdr:cNvSpPr/>
      </xdr:nvSpPr>
      <xdr:spPr>
        <a:xfrm>
          <a:off x="9036424" y="995082"/>
          <a:ext cx="1093695" cy="81578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rPr>
            <a:t>Avrage</a:t>
          </a:r>
          <a:r>
            <a:rPr lang="en-IN" sz="1200" baseline="0">
              <a:solidFill>
                <a:sysClr val="windowText" lastClr="000000"/>
              </a:solidFill>
            </a:rPr>
            <a:t> Loan Amount</a:t>
          </a:r>
        </a:p>
        <a:p>
          <a:pPr algn="ctr"/>
          <a:r>
            <a:rPr lang="en-IN" sz="1200" b="0" i="0" u="none" strike="noStrike">
              <a:solidFill>
                <a:sysClr val="windowText" lastClr="000000"/>
              </a:solidFill>
              <a:effectLst/>
              <a:latin typeface="+mn-lt"/>
              <a:ea typeface="+mn-ea"/>
              <a:cs typeface="+mn-cs"/>
            </a:rPr>
            <a:t>1053977.366</a:t>
          </a:r>
          <a:r>
            <a:rPr lang="en-IN" sz="1200">
              <a:solidFill>
                <a:sysClr val="windowText" lastClr="000000"/>
              </a:solidFill>
              <a:effectLst/>
            </a:rPr>
            <a:t> </a:t>
          </a:r>
          <a:endParaRPr lang="en-IN" sz="1200">
            <a:solidFill>
              <a:sysClr val="windowText" lastClr="000000"/>
            </a:solidFill>
          </a:endParaRPr>
        </a:p>
      </xdr:txBody>
    </xdr:sp>
    <xdr:clientData/>
  </xdr:twoCellAnchor>
  <xdr:twoCellAnchor>
    <xdr:from>
      <xdr:col>16</xdr:col>
      <xdr:colOff>582706</xdr:colOff>
      <xdr:row>5</xdr:row>
      <xdr:rowOff>89646</xdr:rowOff>
    </xdr:from>
    <xdr:to>
      <xdr:col>18</xdr:col>
      <xdr:colOff>457201</xdr:colOff>
      <xdr:row>10</xdr:row>
      <xdr:rowOff>8964</xdr:rowOff>
    </xdr:to>
    <xdr:sp macro="" textlink="">
      <xdr:nvSpPr>
        <xdr:cNvPr id="30" name="Rectangle: Rounded Corners 29">
          <a:extLst>
            <a:ext uri="{FF2B5EF4-FFF2-40B4-BE49-F238E27FC236}">
              <a16:creationId xmlns:a16="http://schemas.microsoft.com/office/drawing/2014/main" id="{30427C9B-001E-4BAD-80EE-A19BD78F41D7}"/>
            </a:ext>
          </a:extLst>
        </xdr:cNvPr>
        <xdr:cNvSpPr/>
      </xdr:nvSpPr>
      <xdr:spPr>
        <a:xfrm>
          <a:off x="10336306" y="986117"/>
          <a:ext cx="1093695" cy="81578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rPr>
            <a:t>Avg Credit Score</a:t>
          </a:r>
        </a:p>
        <a:p>
          <a:pPr algn="ctr"/>
          <a:r>
            <a:rPr lang="en-IN" sz="1200" b="0" i="0" u="none" strike="noStrike">
              <a:solidFill>
                <a:sysClr val="windowText" lastClr="000000"/>
              </a:solidFill>
              <a:effectLst/>
              <a:latin typeface="+mn-lt"/>
              <a:ea typeface="+mn-ea"/>
              <a:cs typeface="+mn-cs"/>
            </a:rPr>
            <a:t>569.188</a:t>
          </a:r>
          <a:r>
            <a:rPr lang="en-IN" sz="1200">
              <a:solidFill>
                <a:sysClr val="windowText" lastClr="000000"/>
              </a:solidFill>
              <a:effectLst/>
            </a:rPr>
            <a:t> </a:t>
          </a:r>
          <a:endParaRPr lang="en-IN" sz="1200">
            <a:solidFill>
              <a:sysClr val="windowText" lastClr="000000"/>
            </a:solidFill>
          </a:endParaRPr>
        </a:p>
      </xdr:txBody>
    </xdr:sp>
    <xdr:clientData/>
  </xdr:twoCellAnchor>
  <xdr:twoCellAnchor>
    <xdr:from>
      <xdr:col>1</xdr:col>
      <xdr:colOff>0</xdr:colOff>
      <xdr:row>34</xdr:row>
      <xdr:rowOff>0</xdr:rowOff>
    </xdr:from>
    <xdr:to>
      <xdr:col>2</xdr:col>
      <xdr:colOff>0</xdr:colOff>
      <xdr:row>36</xdr:row>
      <xdr:rowOff>114300</xdr:rowOff>
    </xdr:to>
    <xdr:sp macro="" textlink="">
      <xdr:nvSpPr>
        <xdr:cNvPr id="4097" name="Text Box 1">
          <a:extLst>
            <a:ext uri="{FF2B5EF4-FFF2-40B4-BE49-F238E27FC236}">
              <a16:creationId xmlns:a16="http://schemas.microsoft.com/office/drawing/2014/main" id="{972F80FF-A6DE-F7CF-89D3-EEC97F369B70}"/>
            </a:ext>
          </a:extLst>
        </xdr:cNvPr>
        <xdr:cNvSpPr txBox="1">
          <a:spLocks noChangeArrowheads="1"/>
        </xdr:cNvSpPr>
      </xdr:nvSpPr>
      <xdr:spPr bwMode="auto">
        <a:xfrm>
          <a:off x="609600" y="621792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Calibri"/>
              <a:ea typeface="Calibri"/>
              <a:cs typeface="Calibri"/>
            </a:rPr>
            <a:t>Default Rate</a:t>
          </a:r>
        </a:p>
      </xdr:txBody>
    </xdr:sp>
    <xdr:clientData/>
  </xdr:twoCellAnchor>
  <xdr:twoCellAnchor>
    <xdr:from>
      <xdr:col>1</xdr:col>
      <xdr:colOff>0</xdr:colOff>
      <xdr:row>34</xdr:row>
      <xdr:rowOff>0</xdr:rowOff>
    </xdr:from>
    <xdr:to>
      <xdr:col>2</xdr:col>
      <xdr:colOff>0</xdr:colOff>
      <xdr:row>36</xdr:row>
      <xdr:rowOff>114300</xdr:rowOff>
    </xdr:to>
    <xdr:sp macro="" textlink="">
      <xdr:nvSpPr>
        <xdr:cNvPr id="4098" name="Text Box 2">
          <a:extLst>
            <a:ext uri="{FF2B5EF4-FFF2-40B4-BE49-F238E27FC236}">
              <a16:creationId xmlns:a16="http://schemas.microsoft.com/office/drawing/2014/main" id="{E5729977-D9A3-D279-5BCB-43164DB06B0B}"/>
            </a:ext>
          </a:extLst>
        </xdr:cNvPr>
        <xdr:cNvSpPr txBox="1">
          <a:spLocks noChangeArrowheads="1"/>
        </xdr:cNvSpPr>
      </xdr:nvSpPr>
      <xdr:spPr bwMode="auto">
        <a:xfrm>
          <a:off x="609600" y="621792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Calibri"/>
              <a:ea typeface="Calibri"/>
              <a:cs typeface="Calibri"/>
            </a:rPr>
            <a:t>Avg Credit Score</a:t>
          </a:r>
        </a:p>
      </xdr:txBody>
    </xdr:sp>
    <xdr:clientData/>
  </xdr:twoCellAnchor>
  <xdr:twoCellAnchor>
    <xdr:from>
      <xdr:col>1</xdr:col>
      <xdr:colOff>0</xdr:colOff>
      <xdr:row>34</xdr:row>
      <xdr:rowOff>0</xdr:rowOff>
    </xdr:from>
    <xdr:to>
      <xdr:col>2</xdr:col>
      <xdr:colOff>0</xdr:colOff>
      <xdr:row>36</xdr:row>
      <xdr:rowOff>114300</xdr:rowOff>
    </xdr:to>
    <xdr:sp macro="" textlink="">
      <xdr:nvSpPr>
        <xdr:cNvPr id="4099" name="Text Box 3">
          <a:extLst>
            <a:ext uri="{FF2B5EF4-FFF2-40B4-BE49-F238E27FC236}">
              <a16:creationId xmlns:a16="http://schemas.microsoft.com/office/drawing/2014/main" id="{1C25AF24-00B2-3EE8-4CE0-CE9BF4CFB89D}"/>
            </a:ext>
          </a:extLst>
        </xdr:cNvPr>
        <xdr:cNvSpPr txBox="1">
          <a:spLocks noChangeArrowheads="1"/>
        </xdr:cNvSpPr>
      </xdr:nvSpPr>
      <xdr:spPr bwMode="auto">
        <a:xfrm>
          <a:off x="609600" y="621792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Calibri"/>
              <a:ea typeface="Calibri"/>
              <a:cs typeface="Calibri"/>
            </a:rPr>
            <a:t>Avg Credit Score</a:t>
          </a:r>
        </a:p>
      </xdr:txBody>
    </xdr:sp>
    <xdr:clientData/>
  </xdr:twoCellAnchor>
  <xdr:twoCellAnchor>
    <xdr:from>
      <xdr:col>1</xdr:col>
      <xdr:colOff>313765</xdr:colOff>
      <xdr:row>22</xdr:row>
      <xdr:rowOff>89647</xdr:rowOff>
    </xdr:from>
    <xdr:to>
      <xdr:col>11</xdr:col>
      <xdr:colOff>89647</xdr:colOff>
      <xdr:row>32</xdr:row>
      <xdr:rowOff>89647</xdr:rowOff>
    </xdr:to>
    <xdr:sp macro="" textlink="">
      <xdr:nvSpPr>
        <xdr:cNvPr id="31" name="Rectangle: Rounded Corners 30">
          <a:extLst>
            <a:ext uri="{FF2B5EF4-FFF2-40B4-BE49-F238E27FC236}">
              <a16:creationId xmlns:a16="http://schemas.microsoft.com/office/drawing/2014/main" id="{D8ECBE4C-685D-5535-9DF6-7F162F65BC64}"/>
            </a:ext>
          </a:extLst>
        </xdr:cNvPr>
        <xdr:cNvSpPr/>
      </xdr:nvSpPr>
      <xdr:spPr>
        <a:xfrm>
          <a:off x="923365" y="4034118"/>
          <a:ext cx="5871882" cy="17929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493059</xdr:colOff>
      <xdr:row>22</xdr:row>
      <xdr:rowOff>80683</xdr:rowOff>
    </xdr:from>
    <xdr:to>
      <xdr:col>11</xdr:col>
      <xdr:colOff>89647</xdr:colOff>
      <xdr:row>32</xdr:row>
      <xdr:rowOff>80683</xdr:rowOff>
    </xdr:to>
    <xdr:sp macro="" textlink="">
      <xdr:nvSpPr>
        <xdr:cNvPr id="4096" name="Rectangle: Rounded Corners 4095">
          <a:extLst>
            <a:ext uri="{FF2B5EF4-FFF2-40B4-BE49-F238E27FC236}">
              <a16:creationId xmlns:a16="http://schemas.microsoft.com/office/drawing/2014/main" id="{4F25994A-A67A-4D38-AF23-BD8FE9E8652F}"/>
            </a:ext>
          </a:extLst>
        </xdr:cNvPr>
        <xdr:cNvSpPr/>
      </xdr:nvSpPr>
      <xdr:spPr>
        <a:xfrm>
          <a:off x="1102659" y="4025154"/>
          <a:ext cx="5692588" cy="179294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INSIGHTS</a:t>
          </a:r>
        </a:p>
        <a:p>
          <a:pPr algn="l"/>
          <a:r>
            <a:rPr lang="en-IN" sz="1000">
              <a:solidFill>
                <a:sysClr val="windowText" lastClr="000000"/>
              </a:solidFill>
            </a:rPr>
            <a:t>1 Majority of loans are </a:t>
          </a:r>
          <a:r>
            <a:rPr lang="en-IN" sz="1000" b="1">
              <a:solidFill>
                <a:sysClr val="windowText" lastClr="000000"/>
              </a:solidFill>
            </a:rPr>
            <a:t>Approved</a:t>
          </a:r>
          <a:r>
            <a:rPr lang="en-IN" sz="1000">
              <a:solidFill>
                <a:sysClr val="windowText" lastClr="000000"/>
              </a:solidFill>
            </a:rPr>
            <a:t>, but a significant portion ends in </a:t>
          </a:r>
          <a:r>
            <a:rPr lang="en-IN" sz="1000" b="1">
              <a:solidFill>
                <a:sysClr val="windowText" lastClr="000000"/>
              </a:solidFill>
            </a:rPr>
            <a:t>Default</a:t>
          </a:r>
          <a:r>
            <a:rPr lang="en-IN" sz="1000">
              <a:solidFill>
                <a:sysClr val="windowText" lastClr="000000"/>
              </a:solidFill>
            </a:rPr>
            <a:t>, i.</a:t>
          </a:r>
          <a:r>
            <a:rPr lang="en-IN" sz="1000" baseline="0">
              <a:solidFill>
                <a:sysClr val="windowText" lastClr="000000"/>
              </a:solidFill>
            </a:rPr>
            <a:t> e.</a:t>
          </a:r>
          <a:r>
            <a:rPr lang="en-IN" sz="1000">
              <a:solidFill>
                <a:sysClr val="windowText" lastClr="000000"/>
              </a:solidFill>
            </a:rPr>
            <a:t> post-approval risk.</a:t>
          </a:r>
        </a:p>
        <a:p>
          <a:r>
            <a:rPr lang="en-IN" sz="1000">
              <a:solidFill>
                <a:sysClr val="windowText" lastClr="000000"/>
              </a:solidFill>
            </a:rPr>
            <a:t>2 Defaults are higher among </a:t>
          </a:r>
          <a:r>
            <a:rPr lang="en-IN" sz="1000" b="1">
              <a:solidFill>
                <a:sysClr val="windowText" lastClr="000000"/>
              </a:solidFill>
            </a:rPr>
            <a:t>Lower credit score customers</a:t>
          </a:r>
          <a:r>
            <a:rPr lang="en-IN" sz="1000" b="0" baseline="0">
              <a:solidFill>
                <a:sysClr val="windowText" lastClr="000000"/>
              </a:solidFill>
            </a:rPr>
            <a:t> and </a:t>
          </a:r>
          <a:r>
            <a:rPr lang="en-IN" sz="1000" b="1">
              <a:solidFill>
                <a:sysClr val="windowText" lastClr="000000"/>
              </a:solidFill>
            </a:rPr>
            <a:t>Higher loan amounts</a:t>
          </a:r>
          <a:r>
            <a:rPr lang="en-IN" sz="1000" b="0" baseline="0">
              <a:solidFill>
                <a:sysClr val="windowText" lastClr="000000"/>
              </a:solidFill>
            </a:rPr>
            <a:t> </a:t>
          </a:r>
          <a:endParaRPr lang="en-IN" sz="1000" b="0" baseline="0">
            <a:solidFill>
              <a:schemeClr val="lt1"/>
            </a:solidFill>
          </a:endParaRPr>
        </a:p>
        <a:p>
          <a:r>
            <a:rPr lang="en-IN" sz="1000" b="0" baseline="0">
              <a:solidFill>
                <a:sysClr val="windowText" lastClr="000000"/>
              </a:solidFill>
            </a:rPr>
            <a:t>3</a:t>
          </a:r>
          <a:r>
            <a:rPr lang="en-IN" sz="1000" b="1" baseline="0">
              <a:solidFill>
                <a:sysClr val="windowText" lastClr="000000"/>
              </a:solidFill>
            </a:rPr>
            <a:t> </a:t>
          </a:r>
          <a:r>
            <a:rPr lang="en-IN" sz="1000" b="1">
              <a:solidFill>
                <a:sysClr val="windowText" lastClr="000000"/>
              </a:solidFill>
            </a:rPr>
            <a:t>Age-Based Insights</a:t>
          </a:r>
          <a:r>
            <a:rPr lang="en-IN" sz="1000" b="1" baseline="0">
              <a:solidFill>
                <a:sysClr val="windowText" lastClr="000000"/>
              </a:solidFill>
            </a:rPr>
            <a:t> </a:t>
          </a:r>
          <a:r>
            <a:rPr lang="en-IN" sz="1000" b="1">
              <a:solidFill>
                <a:sysClr val="windowText" lastClr="000000"/>
              </a:solidFill>
            </a:rPr>
            <a:t>45+ age group</a:t>
          </a:r>
          <a:r>
            <a:rPr lang="en-IN" sz="1000">
              <a:solidFill>
                <a:sysClr val="windowText" lastClr="000000"/>
              </a:solidFill>
            </a:rPr>
            <a:t> shows higher default tendency</a:t>
          </a:r>
          <a:r>
            <a:rPr lang="en-IN" sz="1000" baseline="0">
              <a:solidFill>
                <a:sysClr val="windowText" lastClr="000000"/>
              </a:solidFill>
            </a:rPr>
            <a:t> </a:t>
          </a:r>
          <a:r>
            <a:rPr lang="en-IN" sz="1000" b="1">
              <a:solidFill>
                <a:sysClr val="windowText" lastClr="000000"/>
              </a:solidFill>
            </a:rPr>
            <a:t>30–45 group</a:t>
          </a:r>
          <a:r>
            <a:rPr lang="en-IN" sz="1000">
              <a:solidFill>
                <a:sysClr val="windowText" lastClr="000000"/>
              </a:solidFill>
            </a:rPr>
            <a:t> is most stable</a:t>
          </a:r>
        </a:p>
        <a:p>
          <a:r>
            <a:rPr lang="en-IN" sz="1000" b="1">
              <a:solidFill>
                <a:sysClr val="windowText" lastClr="000000"/>
              </a:solidFill>
            </a:rPr>
            <a:t>Under 30</a:t>
          </a:r>
          <a:r>
            <a:rPr lang="en-IN" sz="1000">
              <a:solidFill>
                <a:sysClr val="windowText" lastClr="000000"/>
              </a:solidFill>
            </a:rPr>
            <a:t> has higher rejection but lower default also personal loan dominate defoult catrgory.</a:t>
          </a:r>
        </a:p>
        <a:p>
          <a:r>
            <a:rPr lang="en-IN" sz="1000" b="1">
              <a:solidFill>
                <a:sysClr val="windowText" lastClr="000000"/>
              </a:solidFill>
            </a:rPr>
            <a:t>4. Credit Score Analysis 300–550</a:t>
          </a:r>
          <a:r>
            <a:rPr lang="en-IN" sz="1000">
              <a:solidFill>
                <a:sysClr val="windowText" lastClr="000000"/>
              </a:solidFill>
            </a:rPr>
            <a:t> → Mostly Rejected / Default</a:t>
          </a:r>
          <a:r>
            <a:rPr lang="en-IN" sz="1000" baseline="0">
              <a:solidFill>
                <a:sysClr val="windowText" lastClr="000000"/>
              </a:solidFill>
            </a:rPr>
            <a:t> </a:t>
          </a:r>
          <a:r>
            <a:rPr lang="en-IN" sz="1000" b="1">
              <a:solidFill>
                <a:sysClr val="windowText" lastClr="000000"/>
              </a:solidFill>
            </a:rPr>
            <a:t>550–700</a:t>
          </a:r>
          <a:r>
            <a:rPr lang="en-IN" sz="1000">
              <a:solidFill>
                <a:sysClr val="windowText" lastClr="000000"/>
              </a:solidFill>
            </a:rPr>
            <a:t> → Mixed behavior</a:t>
          </a:r>
        </a:p>
        <a:p>
          <a:r>
            <a:rPr lang="en-IN" sz="1000" b="1">
              <a:solidFill>
                <a:sysClr val="windowText" lastClr="000000"/>
              </a:solidFill>
            </a:rPr>
            <a:t>700+</a:t>
          </a:r>
          <a:r>
            <a:rPr lang="en-IN" sz="1000">
              <a:solidFill>
                <a:sysClr val="windowText" lastClr="000000"/>
              </a:solidFill>
            </a:rPr>
            <a:t> → High approval, low default</a:t>
          </a:r>
        </a:p>
        <a:p>
          <a:r>
            <a:rPr lang="en-IN" b="1">
              <a:solidFill>
                <a:sysClr val="windowText" lastClr="000000"/>
              </a:solidFill>
            </a:rPr>
            <a:t>5 Region-wise Risk</a:t>
          </a:r>
          <a:r>
            <a:rPr lang="en-IN" b="1" baseline="0">
              <a:solidFill>
                <a:sysClr val="windowText" lastClr="000000"/>
              </a:solidFill>
            </a:rPr>
            <a:t> </a:t>
          </a:r>
          <a:r>
            <a:rPr lang="en-IN">
              <a:solidFill>
                <a:sysClr val="windowText" lastClr="000000"/>
              </a:solidFill>
            </a:rPr>
            <a:t>Certain regions show</a:t>
          </a:r>
          <a:r>
            <a:rPr lang="en-IN" baseline="0">
              <a:solidFill>
                <a:sysClr val="windowText" lastClr="000000"/>
              </a:solidFill>
            </a:rPr>
            <a:t> </a:t>
          </a:r>
          <a:r>
            <a:rPr lang="en-IN">
              <a:solidFill>
                <a:sysClr val="windowText" lastClr="000000"/>
              </a:solidFill>
            </a:rPr>
            <a:t>Higher approval volume</a:t>
          </a:r>
          <a:r>
            <a:rPr lang="en-IN" baseline="0">
              <a:solidFill>
                <a:sysClr val="windowText" lastClr="000000"/>
              </a:solidFill>
            </a:rPr>
            <a:t> </a:t>
          </a:r>
          <a:r>
            <a:rPr lang="en-IN">
              <a:solidFill>
                <a:sysClr val="windowText" lastClr="000000"/>
              </a:solidFill>
            </a:rPr>
            <a:t>But also higher default percentage</a:t>
          </a:r>
        </a:p>
        <a:p>
          <a:endParaRPr lang="en-IN" sz="1000">
            <a:solidFill>
              <a:sysClr val="windowText" lastClr="000000"/>
            </a:solidFill>
          </a:endParaRPr>
        </a:p>
        <a:p>
          <a:pPr algn="l"/>
          <a:endParaRPr lang="en-IN" sz="1400" b="1">
            <a:solidFill>
              <a:sysClr val="windowText" lastClr="000000"/>
            </a:solidFill>
          </a:endParaRPr>
        </a:p>
      </xdr:txBody>
    </xdr:sp>
    <xdr:clientData/>
  </xdr:twoCellAnchor>
  <xdr:twoCellAnchor editAs="oneCell">
    <xdr:from>
      <xdr:col>5</xdr:col>
      <xdr:colOff>591672</xdr:colOff>
      <xdr:row>1</xdr:row>
      <xdr:rowOff>152401</xdr:rowOff>
    </xdr:from>
    <xdr:to>
      <xdr:col>8</xdr:col>
      <xdr:colOff>17930</xdr:colOff>
      <xdr:row>10</xdr:row>
      <xdr:rowOff>89648</xdr:rowOff>
    </xdr:to>
    <mc:AlternateContent xmlns:mc="http://schemas.openxmlformats.org/markup-compatibility/2006">
      <mc:Choice xmlns:a14="http://schemas.microsoft.com/office/drawing/2010/main" Requires="a14">
        <xdr:graphicFrame macro="">
          <xdr:nvGraphicFramePr>
            <xdr:cNvPr id="4100" name="Loan Status">
              <a:extLst>
                <a:ext uri="{FF2B5EF4-FFF2-40B4-BE49-F238E27FC236}">
                  <a16:creationId xmlns:a16="http://schemas.microsoft.com/office/drawing/2014/main" id="{1CAE6BE6-00F8-48E4-83BB-3506C1AF63A0}"/>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dr:sp macro="" textlink="">
          <xdr:nvSpPr>
            <xdr:cNvPr id="0" name=""/>
            <xdr:cNvSpPr>
              <a:spLocks noTextEdit="1"/>
            </xdr:cNvSpPr>
          </xdr:nvSpPr>
          <xdr:spPr>
            <a:xfrm>
              <a:off x="3639672" y="331695"/>
              <a:ext cx="1255058" cy="1550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403411</xdr:colOff>
      <xdr:row>2</xdr:row>
      <xdr:rowOff>1</xdr:rowOff>
    </xdr:from>
    <xdr:to>
      <xdr:col>5</xdr:col>
      <xdr:colOff>546846</xdr:colOff>
      <xdr:row>10</xdr:row>
      <xdr:rowOff>80684</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82B67867-6A9A-4CE3-9203-D13B07D81D5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232211" y="358589"/>
              <a:ext cx="1362635" cy="1515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NANDU BACHHAV" refreshedDate="46051.862703935185" createdVersion="8" refreshedVersion="8" minRefreshableVersion="3" recordCount="501" xr:uid="{81F9E1B7-D435-4C24-B9AF-34C232C66BCF}">
  <cacheSource type="worksheet">
    <worksheetSource ref="A1:R1048576" sheet="dataset"/>
  </cacheSource>
  <cacheFields count="19">
    <cacheField name="Loan ID" numFmtId="0">
      <sharedItems containsBlank="1"/>
    </cacheField>
    <cacheField name="Customer Name" numFmtId="0">
      <sharedItems containsBlank="1"/>
    </cacheField>
    <cacheField name="Customer Age" numFmtId="0">
      <sharedItems containsString="0" containsBlank="1" containsNumber="1" containsInteger="1" minValue="21" maxValue="65"/>
    </cacheField>
    <cacheField name="Age Group" numFmtId="0">
      <sharedItems containsBlank="1" count="4">
        <s v="30 to 45"/>
        <s v="45+"/>
        <s v="Under 30"/>
        <m/>
      </sharedItems>
    </cacheField>
    <cacheField name="Gender" numFmtId="0">
      <sharedItems containsBlank="1" count="3">
        <s v="Male"/>
        <s v="Female"/>
        <m/>
      </sharedItems>
    </cacheField>
    <cacheField name="Income" numFmtId="0">
      <sharedItems containsString="0" containsBlank="1" containsNumber="1" containsInteger="1" minValue="20323" maxValue="149757" count="499">
        <n v="39476"/>
        <n v="26413"/>
        <n v="28346"/>
        <n v="131926"/>
        <n v="117798"/>
        <n v="115358"/>
        <n v="22914"/>
        <n v="69652"/>
        <n v="20957"/>
        <n v="148053"/>
        <n v="65784"/>
        <n v="68930"/>
        <n v="93383"/>
        <n v="101863"/>
        <n v="21537"/>
        <n v="127294"/>
        <n v="76772"/>
        <n v="117261"/>
        <n v="127535"/>
        <n v="115701"/>
        <n v="130860"/>
        <n v="140938"/>
        <n v="98459"/>
        <n v="126087"/>
        <n v="102639"/>
        <n v="111409"/>
        <n v="67339"/>
        <n v="125967"/>
        <n v="58673"/>
        <n v="117410"/>
        <n v="21696"/>
        <n v="145212"/>
        <n v="58375"/>
        <n v="35673"/>
        <n v="26865"/>
        <n v="140282"/>
        <n v="123590"/>
        <n v="135568"/>
        <n v="110639"/>
        <n v="56931"/>
        <n v="106309"/>
        <n v="75485"/>
        <n v="140712"/>
        <n v="68362"/>
        <n v="46537"/>
        <n v="27148"/>
        <n v="85913"/>
        <n v="137909"/>
        <n v="91763"/>
        <n v="39410"/>
        <n v="68608"/>
        <n v="146179"/>
        <n v="34673"/>
        <n v="40552"/>
        <n v="100908"/>
        <n v="126411"/>
        <n v="34536"/>
        <n v="145272"/>
        <n v="133471"/>
        <n v="28653"/>
        <n v="49753"/>
        <n v="95498"/>
        <n v="149700"/>
        <n v="73571"/>
        <n v="78800"/>
        <n v="134295"/>
        <n v="125993"/>
        <n v="71356"/>
        <n v="39738"/>
        <n v="52157"/>
        <n v="47737"/>
        <n v="102191"/>
        <n v="84810"/>
        <n v="99018"/>
        <n v="37626"/>
        <n v="56878"/>
        <n v="119473"/>
        <n v="124518"/>
        <n v="22879"/>
        <n v="28032"/>
        <n v="124160"/>
        <n v="126144"/>
        <n v="68029"/>
        <n v="46518"/>
        <n v="129079"/>
        <n v="77989"/>
        <n v="130048"/>
        <n v="132047"/>
        <n v="36530"/>
        <n v="82851"/>
        <n v="81031"/>
        <n v="70132"/>
        <n v="86816"/>
        <n v="41887"/>
        <n v="70325"/>
        <n v="43941"/>
        <n v="86157"/>
        <n v="91601"/>
        <n v="31144"/>
        <n v="50213"/>
        <n v="148235"/>
        <n v="100323"/>
        <n v="140509"/>
        <n v="25882"/>
        <n v="69387"/>
        <n v="27926"/>
        <n v="46145"/>
        <n v="142744"/>
        <n v="105631"/>
        <n v="41810"/>
        <n v="123201"/>
        <n v="99642"/>
        <n v="127461"/>
        <n v="60103"/>
        <n v="117400"/>
        <n v="101951"/>
        <n v="141351"/>
        <n v="133042"/>
        <n v="90807"/>
        <n v="74294"/>
        <n v="21019"/>
        <n v="50627"/>
        <n v="124986"/>
        <n v="142108"/>
        <n v="35392"/>
        <n v="107070"/>
        <n v="104374"/>
        <n v="38057"/>
        <n v="53804"/>
        <n v="131632"/>
        <n v="102826"/>
        <n v="28820"/>
        <n v="102621"/>
        <n v="137454"/>
        <n v="34876"/>
        <n v="113782"/>
        <n v="33296"/>
        <n v="58016"/>
        <n v="126351"/>
        <n v="92015"/>
        <n v="67432"/>
        <n v="26877"/>
        <n v="144875"/>
        <n v="39509"/>
        <n v="129094"/>
        <n v="47416"/>
        <n v="63974"/>
        <n v="123646"/>
        <n v="103394"/>
        <n v="103425"/>
        <n v="149105"/>
        <n v="92191"/>
        <n v="149330"/>
        <n v="36625"/>
        <n v="43254"/>
        <n v="123610"/>
        <n v="65508"/>
        <n v="78794"/>
        <n v="98974"/>
        <n v="142935"/>
        <n v="26839"/>
        <n v="36179"/>
        <n v="56570"/>
        <n v="103640"/>
        <n v="105433"/>
        <n v="27518"/>
        <n v="87775"/>
        <n v="129968"/>
        <n v="74307"/>
        <n v="126802"/>
        <n v="94868"/>
        <n v="107563"/>
        <n v="34435"/>
        <n v="94730"/>
        <n v="47460"/>
        <n v="135332"/>
        <n v="58784"/>
        <n v="42847"/>
        <n v="55885"/>
        <n v="101618"/>
        <n v="78040"/>
        <n v="46023"/>
        <n v="26295"/>
        <n v="78490"/>
        <n v="90513"/>
        <n v="78184"/>
        <n v="59178"/>
        <n v="102097"/>
        <n v="149001"/>
        <n v="35204"/>
        <n v="109172"/>
        <n v="74605"/>
        <n v="78784"/>
        <n v="61104"/>
        <n v="34122"/>
        <n v="50238"/>
        <n v="147046"/>
        <n v="39192"/>
        <n v="71266"/>
        <n v="135914"/>
        <n v="33930"/>
        <n v="97135"/>
        <n v="59718"/>
        <n v="33557"/>
        <n v="91451"/>
        <n v="118351"/>
        <n v="115340"/>
        <n v="77326"/>
        <n v="136206"/>
        <n v="59061"/>
        <n v="54552"/>
        <n v="142458"/>
        <n v="39207"/>
        <n v="141215"/>
        <n v="129557"/>
        <n v="63851"/>
        <n v="54599"/>
        <n v="105667"/>
        <n v="97899"/>
        <n v="117909"/>
        <n v="135433"/>
        <n v="22637"/>
        <n v="132288"/>
        <n v="25383"/>
        <n v="98490"/>
        <n v="136456"/>
        <n v="73658"/>
        <n v="60408"/>
        <n v="81901"/>
        <n v="68363"/>
        <n v="73038"/>
        <n v="136704"/>
        <n v="100998"/>
        <n v="102159"/>
        <n v="98475"/>
        <n v="44191"/>
        <n v="53085"/>
        <n v="98916"/>
        <n v="71099"/>
        <n v="139601"/>
        <n v="81534"/>
        <n v="146214"/>
        <n v="139215"/>
        <n v="111515"/>
        <n v="74169"/>
        <n v="135765"/>
        <n v="115099"/>
        <n v="58428"/>
        <n v="43536"/>
        <n v="49249"/>
        <n v="123512"/>
        <n v="100912"/>
        <n v="140327"/>
        <n v="40739"/>
        <n v="95458"/>
        <n v="35042"/>
        <n v="62550"/>
        <n v="103690"/>
        <n v="66590"/>
        <n v="103041"/>
        <n v="51236"/>
        <n v="28904"/>
        <n v="26518"/>
        <n v="109219"/>
        <n v="133756"/>
        <n v="69755"/>
        <n v="32072"/>
        <n v="45833"/>
        <n v="83385"/>
        <n v="107987"/>
        <n v="44193"/>
        <n v="127172"/>
        <n v="39604"/>
        <n v="59953"/>
        <n v="86840"/>
        <n v="145041"/>
        <n v="118704"/>
        <n v="92349"/>
        <n v="40882"/>
        <n v="106114"/>
        <n v="109959"/>
        <n v="145982"/>
        <n v="84062"/>
        <n v="50563"/>
        <n v="71594"/>
        <n v="60554"/>
        <n v="112735"/>
        <n v="102731"/>
        <n v="114454"/>
        <n v="89874"/>
        <n v="135708"/>
        <n v="123455"/>
        <n v="25844"/>
        <n v="110734"/>
        <n v="84587"/>
        <n v="34352"/>
        <n v="83587"/>
        <n v="50927"/>
        <n v="90849"/>
        <n v="65819"/>
        <n v="110897"/>
        <n v="59617"/>
        <n v="77393"/>
        <n v="95882"/>
        <n v="37939"/>
        <n v="57267"/>
        <n v="71088"/>
        <n v="65144"/>
        <n v="95581"/>
        <n v="93955"/>
        <n v="79555"/>
        <n v="136843"/>
        <n v="124548"/>
        <n v="144296"/>
        <n v="24570"/>
        <n v="75094"/>
        <n v="120738"/>
        <n v="51570"/>
        <n v="100085"/>
        <n v="147387"/>
        <n v="49608"/>
        <n v="67569"/>
        <n v="62602"/>
        <n v="42994"/>
        <n v="79002"/>
        <n v="69309"/>
        <n v="87862"/>
        <n v="75083"/>
        <n v="85790"/>
        <n v="41251"/>
        <n v="123220"/>
        <n v="122459"/>
        <n v="72692"/>
        <n v="147276"/>
        <n v="97150"/>
        <n v="119221"/>
        <n v="48187"/>
        <n v="97524"/>
        <n v="142913"/>
        <n v="122500"/>
        <n v="65896"/>
        <n v="104074"/>
        <n v="67058"/>
        <n v="96614"/>
        <n v="136175"/>
        <n v="132455"/>
        <n v="120733"/>
        <n v="149605"/>
        <n v="37224"/>
        <n v="149757"/>
        <n v="99221"/>
        <n v="44995"/>
        <n v="99725"/>
        <n v="43077"/>
        <n v="144575"/>
        <n v="116286"/>
        <n v="21245"/>
        <n v="143835"/>
        <n v="97985"/>
        <n v="26320"/>
        <n v="24313"/>
        <n v="118606"/>
        <n v="92442"/>
        <n v="72988"/>
        <n v="86291"/>
        <n v="104211"/>
        <n v="23866"/>
        <n v="54174"/>
        <n v="113475"/>
        <n v="136959"/>
        <n v="115183"/>
        <n v="143350"/>
        <n v="122475"/>
        <n v="56324"/>
        <n v="111586"/>
        <n v="104848"/>
        <n v="85234"/>
        <n v="35288"/>
        <n v="134654"/>
        <n v="24643"/>
        <n v="71246"/>
        <n v="46641"/>
        <n v="133142"/>
        <n v="103253"/>
        <n v="127194"/>
        <n v="44077"/>
        <n v="123897"/>
        <n v="91055"/>
        <n v="69967"/>
        <n v="128237"/>
        <n v="107921"/>
        <n v="86771"/>
        <n v="60454"/>
        <n v="112534"/>
        <n v="28181"/>
        <n v="33395"/>
        <n v="121862"/>
        <n v="65827"/>
        <n v="28564"/>
        <n v="137916"/>
        <n v="60221"/>
        <n v="73614"/>
        <n v="112408"/>
        <n v="34944"/>
        <n v="84589"/>
        <n v="22465"/>
        <n v="135336"/>
        <n v="106038"/>
        <n v="134512"/>
        <n v="110500"/>
        <n v="139671"/>
        <n v="94421"/>
        <n v="74374"/>
        <n v="98138"/>
        <n v="121378"/>
        <n v="44855"/>
        <n v="60769"/>
        <n v="42099"/>
        <n v="147504"/>
        <n v="146556"/>
        <n v="81380"/>
        <n v="86810"/>
        <n v="71550"/>
        <n v="25315"/>
        <n v="84269"/>
        <n v="121622"/>
        <n v="68881"/>
        <n v="46252"/>
        <n v="71856"/>
        <n v="75596"/>
        <n v="106223"/>
        <n v="111983"/>
        <n v="74876"/>
        <n v="65852"/>
        <n v="140388"/>
        <n v="28535"/>
        <n v="103322"/>
        <n v="79279"/>
        <n v="48355"/>
        <n v="118568"/>
        <n v="47029"/>
        <n v="33813"/>
        <n v="88187"/>
        <n v="61399"/>
        <n v="84292"/>
        <n v="78163"/>
        <n v="54290"/>
        <n v="120776"/>
        <n v="119957"/>
        <n v="44571"/>
        <n v="130100"/>
        <n v="141148"/>
        <n v="44578"/>
        <n v="86597"/>
        <n v="110262"/>
        <n v="145952"/>
        <n v="137523"/>
        <n v="35591"/>
        <n v="44258"/>
        <n v="35812"/>
        <n v="70580"/>
        <n v="135796"/>
        <n v="39911"/>
        <n v="67442"/>
        <n v="128495"/>
        <n v="107301"/>
        <n v="118941"/>
        <n v="20323"/>
        <n v="129540"/>
        <n v="142808"/>
        <n v="58561"/>
        <n v="28058"/>
        <n v="111005"/>
        <n v="51191"/>
        <n v="42575"/>
        <n v="33982"/>
        <n v="133438"/>
        <n v="89932"/>
        <n v="75524"/>
        <n v="101804"/>
        <n v="141558"/>
        <n v="96707"/>
        <n v="30633"/>
        <n v="61125"/>
        <n v="104305"/>
        <n v="130962"/>
        <n v="91891"/>
        <n v="90613"/>
        <n v="129771"/>
        <n v="126264"/>
        <n v="139485"/>
        <n v="103832"/>
        <n v="99711"/>
        <n v="40569"/>
        <n v="75962"/>
        <n v="117203"/>
        <n v="87092"/>
        <n v="57975"/>
        <m/>
      </sharedItems>
    </cacheField>
    <cacheField name="Employment Type" numFmtId="0">
      <sharedItems containsBlank="1" count="4">
        <s v="Business"/>
        <s v="Self-Employed"/>
        <s v="Salaried"/>
        <m/>
      </sharedItems>
    </cacheField>
    <cacheField name="Credit Score" numFmtId="0">
      <sharedItems containsString="0" containsBlank="1" containsNumber="1" containsInteger="1" minValue="300" maxValue="848" count="338">
        <n v="437"/>
        <n v="666"/>
        <n v="697"/>
        <n v="319"/>
        <n v="670"/>
        <n v="647"/>
        <n v="533"/>
        <n v="676"/>
        <n v="539"/>
        <n v="825"/>
        <n v="348"/>
        <n v="355"/>
        <n v="407"/>
        <n v="811"/>
        <n v="639"/>
        <n v="702"/>
        <n v="744"/>
        <n v="448"/>
        <n v="659"/>
        <n v="628"/>
        <n v="390"/>
        <n v="590"/>
        <n v="803"/>
        <n v="770"/>
        <n v="694"/>
        <n v="387"/>
        <n v="698"/>
        <n v="782"/>
        <n v="828"/>
        <n v="808"/>
        <n v="484"/>
        <n v="469"/>
        <n v="461"/>
        <n v="409"/>
        <n v="686"/>
        <n v="801"/>
        <n v="843"/>
        <n v="701"/>
        <n v="513"/>
        <n v="445"/>
        <n v="534"/>
        <n v="404"/>
        <n v="496"/>
        <n v="331"/>
        <n v="623"/>
        <n v="435"/>
        <n v="364"/>
        <n v="582"/>
        <n v="562"/>
        <n v="421"/>
        <n v="414"/>
        <n v="679"/>
        <n v="633"/>
        <n v="363"/>
        <n v="530"/>
        <n v="372"/>
        <n v="798"/>
        <n v="501"/>
        <n v="830"/>
        <n v="369"/>
        <n v="527"/>
        <n v="310"/>
        <n v="342"/>
        <n v="708"/>
        <n v="458"/>
        <n v="361"/>
        <n v="547"/>
        <n v="307"/>
        <n v="470"/>
        <n v="477"/>
        <n v="643"/>
        <n v="743"/>
        <n v="430"/>
        <n v="399"/>
        <n v="824"/>
        <n v="722"/>
        <n v="455"/>
        <n v="375"/>
        <n v="814"/>
        <n v="564"/>
        <n v="680"/>
        <n v="555"/>
        <n v="385"/>
        <n v="503"/>
        <n v="465"/>
        <n v="597"/>
        <n v="349"/>
        <n v="417"/>
        <n v="493"/>
        <n v="551"/>
        <n v="550"/>
        <n v="827"/>
        <n v="554"/>
        <n v="771"/>
        <n v="595"/>
        <n v="377"/>
        <n v="762"/>
        <n v="508"/>
        <n v="388"/>
        <n v="422"/>
        <n v="775"/>
        <n v="346"/>
        <n v="537"/>
        <n v="845"/>
        <n v="474"/>
        <n v="581"/>
        <n v="804"/>
        <n v="345"/>
        <n v="755"/>
        <n v="353"/>
        <n v="425"/>
        <n v="614"/>
        <n v="750"/>
        <n v="517"/>
        <n v="374"/>
        <n v="402"/>
        <n v="768"/>
        <n v="583"/>
        <n v="631"/>
        <n v="753"/>
        <n v="611"/>
        <n v="333"/>
        <n v="573"/>
        <n v="549"/>
        <n v="557"/>
        <n v="585"/>
        <n v="481"/>
        <n v="344"/>
        <n v="514"/>
        <n v="634"/>
        <n v="431"/>
        <n v="512"/>
        <n v="648"/>
        <n v="497"/>
        <n v="389"/>
        <n v="794"/>
        <n v="572"/>
        <n v="622"/>
        <n v="667"/>
        <n v="381"/>
        <n v="330"/>
        <n v="807"/>
        <n v="691"/>
        <n v="575"/>
        <n v="584"/>
        <n v="615"/>
        <n v="793"/>
        <n v="467"/>
        <n v="610"/>
        <n v="822"/>
        <n v="571"/>
        <n v="809"/>
        <n v="837"/>
        <n v="405"/>
        <n v="682"/>
        <n v="373"/>
        <n v="748"/>
        <n v="600"/>
        <n v="660"/>
        <n v="524"/>
        <n v="658"/>
        <n v="588"/>
        <n v="812"/>
        <n v="396"/>
        <n v="707"/>
        <n v="632"/>
        <n v="568"/>
        <n v="439"/>
        <n v="412"/>
        <n v="693"/>
        <n v="723"/>
        <n v="664"/>
        <n v="350"/>
        <n v="473"/>
        <n v="606"/>
        <n v="523"/>
        <n v="546"/>
        <n v="847"/>
        <n v="696"/>
        <n v="613"/>
        <n v="792"/>
        <n v="823"/>
        <n v="763"/>
        <n v="341"/>
        <n v="735"/>
        <n v="306"/>
        <n v="618"/>
        <n v="420"/>
        <n v="629"/>
        <n v="767"/>
        <n v="776"/>
        <n v="410"/>
        <n v="476"/>
        <n v="720"/>
        <n v="630"/>
        <n v="609"/>
        <n v="699"/>
        <n v="337"/>
        <n v="785"/>
        <n v="815"/>
        <n v="429"/>
        <n v="813"/>
        <n v="806"/>
        <n v="662"/>
        <n v="638"/>
        <n v="457"/>
        <n v="352"/>
        <n v="327"/>
        <n v="589"/>
        <n v="314"/>
        <n v="494"/>
        <n v="797"/>
        <n v="544"/>
        <n v="510"/>
        <n v="742"/>
        <n v="749"/>
        <n v="324"/>
        <n v="305"/>
        <n v="368"/>
        <n v="338"/>
        <n v="428"/>
        <n v="442"/>
        <n v="655"/>
        <n v="321"/>
        <n v="371"/>
        <n v="791"/>
        <n v="746"/>
        <n v="466"/>
        <n v="716"/>
        <n v="553"/>
        <n v="394"/>
        <n v="395"/>
        <n v="370"/>
        <n v="311"/>
        <n v="433"/>
        <n v="688"/>
        <n v="641"/>
        <n v="848"/>
        <n v="839"/>
        <n v="724"/>
        <n v="362"/>
        <n v="459"/>
        <n v="761"/>
        <n v="734"/>
        <n v="593"/>
        <n v="560"/>
        <n v="673"/>
        <n v="511"/>
        <n v="506"/>
        <n v="695"/>
        <n v="838"/>
        <n v="760"/>
        <n v="436"/>
        <n v="531"/>
        <n v="644"/>
        <n v="384"/>
        <n v="367"/>
        <n v="774"/>
        <n v="521"/>
        <n v="326"/>
        <n v="323"/>
        <n v="312"/>
        <n v="419"/>
        <n v="558"/>
        <n v="579"/>
        <n v="309"/>
        <n v="831"/>
        <n v="339"/>
        <n v="456"/>
        <n v="580"/>
        <n v="525"/>
        <n v="545"/>
        <n v="651"/>
        <n v="489"/>
        <n v="594"/>
        <n v="515"/>
        <n v="787"/>
        <n v="726"/>
        <n v="317"/>
        <n v="577"/>
        <n v="491"/>
        <n v="626"/>
        <n v="315"/>
        <n v="518"/>
        <n v="386"/>
        <n v="447"/>
        <n v="703"/>
        <n v="471"/>
        <n v="451"/>
        <n v="423"/>
        <n v="542"/>
        <n v="772"/>
        <n v="499"/>
        <n v="738"/>
        <n v="540"/>
        <n v="408"/>
        <n v="608"/>
        <n v="535"/>
        <n v="463"/>
        <n v="810"/>
        <n v="661"/>
        <n v="692"/>
        <n v="752"/>
        <n v="712"/>
        <n v="654"/>
        <n v="714"/>
        <n v="601"/>
        <n v="357"/>
        <n v="739"/>
        <n v="757"/>
        <n v="765"/>
        <n v="733"/>
        <n v="737"/>
        <n v="378"/>
        <n v="833"/>
        <n v="400"/>
        <n v="656"/>
        <n v="475"/>
        <n v="563"/>
        <n v="392"/>
        <n v="454"/>
        <n v="650"/>
        <n v="637"/>
        <n v="427"/>
        <n v="565"/>
        <n v="440"/>
        <n v="490"/>
        <n v="625"/>
        <n v="485"/>
        <n v="717"/>
        <n v="719"/>
        <n v="713"/>
        <n v="487"/>
        <n v="351"/>
        <n v="300"/>
        <n v="509"/>
        <n v="336"/>
        <m/>
      </sharedItems>
    </cacheField>
    <cacheField name="Credit Score Group" numFmtId="0">
      <sharedItems containsBlank="1" count="4">
        <s v="Poor (&lt;550)"/>
        <s v="Fair (550-699) "/>
        <s v="Good (700+)"/>
        <m/>
      </sharedItems>
    </cacheField>
    <cacheField name="Loan Amount" numFmtId="0">
      <sharedItems containsString="0" containsBlank="1" containsNumber="1" containsInteger="1" minValue="100247" maxValue="1999921"/>
    </cacheField>
    <cacheField name="Loan Term (Years)" numFmtId="0">
      <sharedItems containsString="0" containsBlank="1" containsNumber="1" containsInteger="1" minValue="5" maxValue="20"/>
    </cacheField>
    <cacheField name="Interest Rate" numFmtId="0">
      <sharedItems containsString="0" containsBlank="1" containsNumber="1" minValue="7" maxValue="14.95"/>
    </cacheField>
    <cacheField name="EMI" numFmtId="0">
      <sharedItems containsString="0" containsBlank="1" containsNumber="1" minValue="54.93" maxValue="4680.17" count="501">
        <n v="491.33"/>
        <n v="1194.8900000000001"/>
        <n v="2452.7399999999998"/>
        <n v="1268.23"/>
        <n v="1215.19"/>
        <n v="544.5"/>
        <n v="1279.51"/>
        <n v="2607.34"/>
        <n v="990.44"/>
        <n v="1219.8499999999999"/>
        <n v="1395.62"/>
        <n v="95.7"/>
        <n v="918.54"/>
        <n v="780.61"/>
        <n v="236.68"/>
        <n v="903"/>
        <n v="136.63999999999999"/>
        <n v="176.19"/>
        <n v="1987.81"/>
        <n v="1820.8"/>
        <n v="1564.43"/>
        <n v="407.98"/>
        <n v="3575.22"/>
        <n v="154.33000000000001"/>
        <n v="1958.54"/>
        <n v="233.94"/>
        <n v="322.64999999999998"/>
        <n v="3310.49"/>
        <n v="1408.57"/>
        <n v="598.37"/>
        <n v="992.91"/>
        <n v="1255.93"/>
        <n v="602.65"/>
        <n v="1362.23"/>
        <n v="1034.4100000000001"/>
        <n v="1108.71"/>
        <n v="2362.5100000000002"/>
        <n v="640.36"/>
        <n v="566.55999999999995"/>
        <n v="311.08999999999997"/>
        <n v="429.51"/>
        <n v="813.56"/>
        <n v="740.67"/>
        <n v="140.19"/>
        <n v="1517.8"/>
        <n v="802.53"/>
        <n v="2075.6"/>
        <n v="1361.01"/>
        <n v="3943.39"/>
        <n v="1445.38"/>
        <n v="757.73"/>
        <n v="1007"/>
        <n v="643.17999999999995"/>
        <n v="640.26"/>
        <n v="234.29"/>
        <n v="873.56"/>
        <n v="1044.94"/>
        <n v="388.76"/>
        <n v="619.95000000000005"/>
        <n v="1294.55"/>
        <n v="2636.43"/>
        <n v="3417.95"/>
        <n v="850.05"/>
        <n v="182.05"/>
        <n v="703.33"/>
        <n v="3858.06"/>
        <n v="823.6"/>
        <n v="179.25"/>
        <n v="730.51"/>
        <n v="540.67999999999995"/>
        <n v="825.48"/>
        <n v="1645.31"/>
        <n v="1899.97"/>
        <n v="313.20999999999998"/>
        <n v="694.89"/>
        <n v="1636.21"/>
        <n v="1181.5999999999999"/>
        <n v="112.38"/>
        <n v="496.32"/>
        <n v="202.73"/>
        <n v="487.53"/>
        <n v="790.1"/>
        <n v="921.71"/>
        <n v="3459.76"/>
        <n v="853.47"/>
        <n v="206.81"/>
        <n v="708"/>
        <n v="982.06"/>
        <n v="4535.63"/>
        <n v="326.45999999999998"/>
        <n v="1753.14"/>
        <n v="595.12"/>
        <n v="1182.17"/>
        <n v="408.39"/>
        <n v="1215.1500000000001"/>
        <n v="4680.17"/>
        <n v="1745.9"/>
        <n v="1199.26"/>
        <n v="575.6"/>
        <n v="388.48"/>
        <n v="596.79999999999995"/>
        <n v="1738.23"/>
        <n v="805.74"/>
        <n v="3846.35"/>
        <n v="1267.32"/>
        <n v="1553.36"/>
        <n v="520.02"/>
        <n v="623.64"/>
        <n v="612.36"/>
        <n v="2982.85"/>
        <n v="994.79"/>
        <n v="407.43"/>
        <n v="452.31"/>
        <n v="2058.62"/>
        <n v="789.63"/>
        <n v="751.78"/>
        <n v="601.71"/>
        <n v="510.81"/>
        <n v="645.62"/>
        <n v="1264.3699999999999"/>
        <n v="55.43"/>
        <n v="307.67"/>
        <n v="965.58"/>
        <n v="1693.31"/>
        <n v="580.70000000000005"/>
        <n v="1104.8399999999999"/>
        <n v="302.33"/>
        <n v="236.41"/>
        <n v="1019"/>
        <n v="722.15"/>
        <n v="1585.33"/>
        <n v="525.54"/>
        <n v="2852.86"/>
        <n v="2515.96"/>
        <n v="703.3"/>
        <n v="1430.39"/>
        <n v="718.72"/>
        <n v="1492.81"/>
        <n v="1268.0899999999999"/>
        <n v="799.13"/>
        <n v="476.01"/>
        <n v="437.93"/>
        <n v="425.82"/>
        <n v="790.26"/>
        <n v="1826.67"/>
        <n v="264.88"/>
        <n v="474.65"/>
        <n v="127.24"/>
        <n v="426.98"/>
        <n v="170.79"/>
        <n v="632.41999999999996"/>
        <n v="2009.84"/>
        <n v="711"/>
        <n v="224.92"/>
        <n v="1087.0899999999999"/>
        <n v="950.3"/>
        <n v="840.32"/>
        <n v="967.56"/>
        <n v="2284.87"/>
        <n v="289.23"/>
        <n v="698.48"/>
        <n v="939.1"/>
        <n v="471.31"/>
        <n v="1483.17"/>
        <n v="249.61"/>
        <n v="397.33"/>
        <n v="514.45000000000005"/>
        <n v="908.35"/>
        <n v="593.28"/>
        <n v="548.28"/>
        <n v="506.01"/>
        <n v="1464.68"/>
        <n v="1020.63"/>
        <n v="279.20999999999998"/>
        <n v="822.61"/>
        <n v="1473.3"/>
        <n v="767.42"/>
        <n v="502.02"/>
        <n v="1229.04"/>
        <n v="711.89"/>
        <n v="180.05"/>
        <n v="4154.75"/>
        <n v="215.07"/>
        <n v="408.44"/>
        <n v="695.32"/>
        <n v="285.92"/>
        <n v="1552.02"/>
        <n v="1950.91"/>
        <n v="844.36"/>
        <n v="1630.94"/>
        <n v="1064.3399999999999"/>
        <n v="481.51"/>
        <n v="1378.22"/>
        <n v="334.68"/>
        <n v="349.16"/>
        <n v="1000.29"/>
        <n v="219.41"/>
        <n v="149.38999999999999"/>
        <n v="468.86"/>
        <n v="747.95"/>
        <n v="691.22"/>
        <n v="2207.19"/>
        <n v="62.98"/>
        <n v="224.17"/>
        <n v="954.9"/>
        <n v="309.2"/>
        <n v="233.88"/>
        <n v="442.81"/>
        <n v="797.01"/>
        <n v="1258.8800000000001"/>
        <n v="665.85"/>
        <n v="804.11"/>
        <n v="323.11"/>
        <n v="442.83"/>
        <n v="366.62"/>
        <n v="1050.3499999999999"/>
        <n v="304.97000000000003"/>
        <n v="2383.25"/>
        <n v="200.46"/>
        <n v="2332.8200000000002"/>
        <n v="508.12"/>
        <n v="2779.87"/>
        <n v="189.51"/>
        <n v="327.49"/>
        <n v="651.57000000000005"/>
        <n v="935.25"/>
        <n v="1827.05"/>
        <n v="1766.61"/>
        <n v="416.31"/>
        <n v="342.59"/>
        <n v="3160.46"/>
        <n v="262.7"/>
        <n v="1689.44"/>
        <n v="1672.63"/>
        <n v="486.68"/>
        <n v="537.55999999999995"/>
        <n v="117.45"/>
        <n v="251.32"/>
        <n v="1610.89"/>
        <n v="1964.46"/>
        <n v="519.62"/>
        <n v="3953.97"/>
        <n v="713.86"/>
        <n v="95.82"/>
        <n v="1152.3900000000001"/>
        <n v="848.49"/>
        <n v="665.14"/>
        <n v="3332.09"/>
        <n v="1326.36"/>
        <n v="1240.04"/>
        <n v="896.06"/>
        <n v="267.04000000000002"/>
        <n v="1245.45"/>
        <n v="107.74"/>
        <n v="1583.69"/>
        <n v="1683.95"/>
        <n v="206.32"/>
        <n v="388.17"/>
        <n v="931.99"/>
        <n v="1000.6"/>
        <n v="729.37"/>
        <n v="2332.5"/>
        <n v="188.88"/>
        <n v="676.94"/>
        <n v="699.49"/>
        <n v="288.44"/>
        <n v="1262.27"/>
        <n v="560.80999999999995"/>
        <n v="628.39"/>
        <n v="2652.39"/>
        <n v="2889.14"/>
        <n v="678.77"/>
        <n v="368.57"/>
        <n v="349.58"/>
        <n v="1307.0899999999999"/>
        <n v="884.99"/>
        <n v="852.93"/>
        <n v="3103.51"/>
        <n v="206.96"/>
        <n v="1024.6199999999999"/>
        <n v="778.24"/>
        <n v="3289.48"/>
        <n v="119.55"/>
        <n v="2005.42"/>
        <n v="328.88"/>
        <n v="4230.45"/>
        <n v="169.74"/>
        <n v="657.45"/>
        <n v="2590.8200000000002"/>
        <n v="1013.67"/>
        <n v="1965.37"/>
        <n v="54.93"/>
        <n v="1307.3"/>
        <n v="542.41"/>
        <n v="495.77"/>
        <n v="1080.03"/>
        <n v="623.09"/>
        <n v="1799.44"/>
        <n v="65.97"/>
        <n v="1037.17"/>
        <n v="444.54"/>
        <n v="57.44"/>
        <n v="2880.2"/>
        <n v="397.15"/>
        <n v="1053.1400000000001"/>
        <n v="2300.56"/>
        <n v="418.19"/>
        <n v="1388.49"/>
        <n v="833.37"/>
        <n v="566.72"/>
        <n v="2857.79"/>
        <n v="1510.26"/>
        <n v="580.38"/>
        <n v="354.83"/>
        <n v="1864.9"/>
        <n v="936.77"/>
        <n v="1259.1099999999999"/>
        <n v="1409.38"/>
        <n v="381.63"/>
        <n v="191.57"/>
        <n v="2549.5500000000002"/>
        <n v="85.98"/>
        <n v="2152.13"/>
        <n v="89.39"/>
        <n v="1206.8499999999999"/>
        <n v="1441.45"/>
        <n v="787.37"/>
        <n v="479.97"/>
        <n v="1063.3499999999999"/>
        <n v="743.96"/>
        <n v="455.81"/>
        <n v="1411.63"/>
        <n v="267.41000000000003"/>
        <n v="1226.06"/>
        <n v="226.64"/>
        <n v="1144.77"/>
        <n v="1336.23"/>
        <n v="223.57"/>
        <n v="315.63"/>
        <n v="583.54999999999995"/>
        <n v="739.79"/>
        <n v="468.69"/>
        <n v="2690.48"/>
        <n v="401.69"/>
        <n v="2084.02"/>
        <n v="898.45"/>
        <n v="263.31"/>
        <n v="1185.45"/>
        <n v="1041.8599999999999"/>
        <n v="674.37"/>
        <n v="163.02000000000001"/>
        <n v="2456.29"/>
        <n v="1294.75"/>
        <n v="609.72"/>
        <n v="265.10000000000002"/>
        <n v="1260.67"/>
        <n v="632.30999999999995"/>
        <n v="1098.57"/>
        <n v="263.56"/>
        <n v="843.14"/>
        <n v="847.9"/>
        <n v="601.08000000000004"/>
        <n v="756.41"/>
        <n v="1097.8800000000001"/>
        <n v="1146.1300000000001"/>
        <n v="4157.2"/>
        <n v="1123.57"/>
        <n v="1417.15"/>
        <n v="733.18"/>
        <n v="899.82"/>
        <n v="1438.58"/>
        <n v="816.88"/>
        <n v="1086.3399999999999"/>
        <n v="110.15"/>
        <n v="434.13"/>
        <n v="908.71"/>
        <n v="651.67999999999995"/>
        <n v="494.48"/>
        <n v="146.22999999999999"/>
        <n v="417.05"/>
        <n v="184.51"/>
        <n v="160.69"/>
        <n v="127.44"/>
        <n v="437.27"/>
        <n v="380.51"/>
        <n v="478.3"/>
        <n v="357.16"/>
        <n v="1697.95"/>
        <n v="150.29"/>
        <n v="627.97"/>
        <n v="1489.77"/>
        <n v="412.82"/>
        <n v="1109.67"/>
        <n v="961.26"/>
        <n v="1175.58"/>
        <n v="369.82"/>
        <n v="934.83"/>
        <n v="726.73"/>
        <n v="1164.98"/>
        <n v="1989.48"/>
        <n v="476.98"/>
        <n v="598.79999999999995"/>
        <n v="169.29"/>
        <n v="649.14"/>
        <n v="442.53"/>
        <n v="161.38999999999999"/>
        <n v="1622.35"/>
        <n v="2127.16"/>
        <n v="3971.28"/>
        <n v="557.87"/>
        <n v="1382.76"/>
        <n v="79.92"/>
        <n v="344.08"/>
        <n v="735.19"/>
        <n v="250.37"/>
        <n v="346.58"/>
        <n v="3741.46"/>
        <n v="709.42"/>
        <n v="712.24"/>
        <n v="3166.83"/>
        <n v="907.37"/>
        <n v="147.49"/>
        <n v="275.29000000000002"/>
        <n v="3059.19"/>
        <n v="1335.9"/>
        <n v="247.79"/>
        <n v="603.69000000000005"/>
        <n v="1755.42"/>
        <n v="140.80000000000001"/>
        <n v="1173.05"/>
        <n v="278.08999999999997"/>
        <n v="299.89"/>
        <n v="957.15"/>
        <n v="2422.12"/>
        <n v="2288.3200000000002"/>
        <n v="1195.4100000000001"/>
        <n v="1091.8499999999999"/>
        <n v="1815.5"/>
        <n v="536.13"/>
        <n v="3920.32"/>
        <n v="1224.3599999999999"/>
        <n v="495.83"/>
        <n v="135"/>
        <n v="682.64"/>
        <n v="2125.15"/>
        <n v="1499.07"/>
        <n v="4145.2700000000004"/>
        <n v="938.26"/>
        <n v="708.08"/>
        <n v="377"/>
        <n v="2156.7199999999998"/>
        <n v="166.17"/>
        <n v="348.66"/>
        <n v="779.77"/>
        <n v="490.26"/>
        <n v="1526.9"/>
        <n v="838.07"/>
        <n v="61.6"/>
        <n v="318.81"/>
        <n v="293.41000000000003"/>
        <n v="364.83"/>
        <n v="307.76"/>
        <n v="1939.92"/>
        <n v="1685.69"/>
        <n v="242.24"/>
        <n v="837.99"/>
        <n v="1724.16"/>
        <n v="85.45"/>
        <n v="112.14"/>
        <n v="1377.43"/>
        <n v="169.66"/>
        <n v="1504.45"/>
        <n v="2821.69"/>
        <n v="56.58"/>
        <n v="1489.81"/>
        <n v="577.4"/>
        <n v="153.68"/>
        <n v="462.14"/>
        <n v="956.3"/>
        <n v="299.75"/>
        <n v="1175.48"/>
        <n v="446.91"/>
        <n v="2351.16"/>
        <n v="549.13"/>
        <n v="2259.12"/>
        <n v="239.95"/>
        <n v="1337.51"/>
        <n v="557.14"/>
        <n v="2668.78"/>
        <n v="2000.35"/>
        <n v="195.29"/>
        <n v="349.67"/>
        <n v="604.29999999999995"/>
        <n v="1578.97"/>
        <n v="133.25"/>
        <n v="942.54"/>
        <n v="414.25"/>
        <n v="1833.33"/>
        <n v="543.97"/>
        <n v="647.91999999999996"/>
        <m/>
      </sharedItems>
    </cacheField>
    <cacheField name="Loan Purpose" numFmtId="0">
      <sharedItems containsBlank="1" count="6">
        <s v="Education"/>
        <s v="Car"/>
        <s v="Personal"/>
        <s v="Home"/>
        <s v="Business"/>
        <m/>
      </sharedItems>
    </cacheField>
    <cacheField name="Region" numFmtId="0">
      <sharedItems containsBlank="1" count="5">
        <s v="North"/>
        <s v="South"/>
        <s v="East"/>
        <s v="West"/>
        <m/>
      </sharedItems>
    </cacheField>
    <cacheField name="Application Date" numFmtId="0">
      <sharedItems containsNonDate="0" containsDate="1" containsString="0" containsBlank="1" minDate="2022-01-02T00:00:00" maxDate="2024-06-18T00:00:00"/>
    </cacheField>
    <cacheField name="Approval Date" numFmtId="0">
      <sharedItems containsNonDate="0" containsDate="1" containsString="0" containsBlank="1" minDate="2022-01-15T00:00:00" maxDate="2024-07-16T00:00:00" count="307">
        <d v="2023-06-04T00:00:00"/>
        <d v="2024-02-13T00:00:00"/>
        <d v="2023-04-05T00:00:00"/>
        <d v="2023-08-11T00:00:00"/>
        <d v="2022-12-14T00:00:00"/>
        <d v="2023-05-09T00:00:00"/>
        <d v="2024-06-04T00:00:00"/>
        <d v="2023-06-25T00:00:00"/>
        <d v="2022-11-19T00:00:00"/>
        <d v="2024-04-24T00:00:00"/>
        <m/>
        <d v="2023-04-13T00:00:00"/>
        <d v="2023-12-09T00:00:00"/>
        <d v="2022-12-17T00:00:00"/>
        <d v="2024-03-07T00:00:00"/>
        <d v="2022-10-07T00:00:00"/>
        <d v="2024-06-27T00:00:00"/>
        <d v="2023-03-24T00:00:00"/>
        <d v="2022-05-11T00:00:00"/>
        <d v="2022-10-14T00:00:00"/>
        <d v="2023-04-29T00:00:00"/>
        <d v="2024-05-10T00:00:00"/>
        <d v="2023-09-07T00:00:00"/>
        <d v="2022-07-24T00:00:00"/>
        <d v="2022-03-18T00:00:00"/>
        <d v="2022-07-01T00:00:00"/>
        <d v="2022-11-30T00:00:00"/>
        <d v="2023-06-06T00:00:00"/>
        <d v="2023-04-25T00:00:00"/>
        <d v="2023-01-28T00:00:00"/>
        <d v="2022-05-30T00:00:00"/>
        <d v="2022-10-19T00:00:00"/>
        <d v="2023-07-30T00:00:00"/>
        <d v="2022-05-05T00:00:00"/>
        <d v="2023-01-23T00:00:00"/>
        <d v="2023-03-25T00:00:00"/>
        <d v="2024-01-23T00:00:00"/>
        <d v="2022-08-06T00:00:00"/>
        <d v="2024-03-31T00:00:00"/>
        <d v="2022-02-27T00:00:00"/>
        <d v="2022-10-13T00:00:00"/>
        <d v="2023-10-13T00:00:00"/>
        <d v="2024-03-03T00:00:00"/>
        <d v="2022-08-15T00:00:00"/>
        <d v="2022-05-25T00:00:00"/>
        <d v="2022-03-17T00:00:00"/>
        <d v="2022-09-01T00:00:00"/>
        <d v="2022-10-25T00:00:00"/>
        <d v="2023-04-02T00:00:00"/>
        <d v="2024-04-15T00:00:00"/>
        <d v="2022-04-20T00:00:00"/>
        <d v="2022-07-14T00:00:00"/>
        <d v="2023-06-24T00:00:00"/>
        <d v="2022-10-27T00:00:00"/>
        <d v="2023-06-20T00:00:00"/>
        <d v="2024-01-19T00:00:00"/>
        <d v="2022-08-07T00:00:00"/>
        <d v="2022-03-31T00:00:00"/>
        <d v="2023-01-11T00:00:00"/>
        <d v="2024-06-17T00:00:00"/>
        <d v="2023-12-21T00:00:00"/>
        <d v="2024-04-26T00:00:00"/>
        <d v="2023-01-17T00:00:00"/>
        <d v="2022-05-21T00:00:00"/>
        <d v="2024-01-21T00:00:00"/>
        <d v="2024-05-23T00:00:00"/>
        <d v="2022-10-03T00:00:00"/>
        <d v="2022-06-24T00:00:00"/>
        <d v="2022-10-26T00:00:00"/>
        <d v="2022-11-29T00:00:00"/>
        <d v="2022-07-20T00:00:00"/>
        <d v="2022-07-13T00:00:00"/>
        <d v="2023-01-14T00:00:00"/>
        <d v="2023-09-26T00:00:00"/>
        <d v="2023-03-03T00:00:00"/>
        <d v="2023-03-12T00:00:00"/>
        <d v="2023-07-29T00:00:00"/>
        <d v="2023-05-01T00:00:00"/>
        <d v="2022-11-17T00:00:00"/>
        <d v="2022-05-10T00:00:00"/>
        <d v="2022-05-12T00:00:00"/>
        <d v="2024-04-17T00:00:00"/>
        <d v="2023-09-08T00:00:00"/>
        <d v="2022-09-04T00:00:00"/>
        <d v="2023-11-08T00:00:00"/>
        <d v="2022-11-07T00:00:00"/>
        <d v="2024-04-16T00:00:00"/>
        <d v="2024-04-21T00:00:00"/>
        <d v="2022-07-27T00:00:00"/>
        <d v="2023-07-20T00:00:00"/>
        <d v="2023-12-28T00:00:00"/>
        <d v="2024-04-04T00:00:00"/>
        <d v="2023-09-23T00:00:00"/>
        <d v="2023-07-28T00:00:00"/>
        <d v="2023-09-17T00:00:00"/>
        <d v="2022-12-01T00:00:00"/>
        <d v="2023-11-22T00:00:00"/>
        <d v="2023-09-15T00:00:00"/>
        <d v="2022-05-18T00:00:00"/>
        <d v="2023-05-06T00:00:00"/>
        <d v="2024-04-07T00:00:00"/>
        <d v="2022-08-23T00:00:00"/>
        <d v="2024-06-18T00:00:00"/>
        <d v="2022-11-23T00:00:00"/>
        <d v="2024-07-02T00:00:00"/>
        <d v="2022-06-21T00:00:00"/>
        <d v="2024-05-08T00:00:00"/>
        <d v="2024-05-15T00:00:00"/>
        <d v="2022-09-17T00:00:00"/>
        <d v="2023-07-31T00:00:00"/>
        <d v="2022-02-11T00:00:00"/>
        <d v="2023-04-04T00:00:00"/>
        <d v="2023-02-04T00:00:00"/>
        <d v="2023-02-15T00:00:00"/>
        <d v="2022-10-10T00:00:00"/>
        <d v="2024-05-25T00:00:00"/>
        <d v="2024-05-26T00:00:00"/>
        <d v="2023-01-02T00:00:00"/>
        <d v="2023-04-10T00:00:00"/>
        <d v="2022-09-29T00:00:00"/>
        <d v="2024-02-05T00:00:00"/>
        <d v="2022-04-28T00:00:00"/>
        <d v="2022-02-15T00:00:00"/>
        <d v="2023-01-16T00:00:00"/>
        <d v="2022-05-02T00:00:00"/>
        <d v="2022-03-12T00:00:00"/>
        <d v="2023-02-17T00:00:00"/>
        <d v="2022-11-05T00:00:00"/>
        <d v="2023-11-28T00:00:00"/>
        <d v="2023-07-14T00:00:00"/>
        <d v="2023-11-07T00:00:00"/>
        <d v="2023-07-15T00:00:00"/>
        <d v="2022-12-30T00:00:00"/>
        <d v="2022-04-09T00:00:00"/>
        <d v="2023-09-24T00:00:00"/>
        <d v="2022-12-05T00:00:00"/>
        <d v="2023-10-17T00:00:00"/>
        <d v="2023-12-20T00:00:00"/>
        <d v="2023-06-02T00:00:00"/>
        <d v="2023-10-11T00:00:00"/>
        <d v="2022-09-06T00:00:00"/>
        <d v="2023-02-05T00:00:00"/>
        <d v="2022-06-09T00:00:00"/>
        <d v="2022-01-29T00:00:00"/>
        <d v="2023-09-19T00:00:00"/>
        <d v="2022-02-04T00:00:00"/>
        <d v="2023-04-06T00:00:00"/>
        <d v="2022-07-25T00:00:00"/>
        <d v="2023-08-20T00:00:00"/>
        <d v="2024-03-19T00:00:00"/>
        <d v="2023-12-31T00:00:00"/>
        <d v="2022-02-16T00:00:00"/>
        <d v="2023-08-16T00:00:00"/>
        <d v="2022-10-17T00:00:00"/>
        <d v="2023-11-01T00:00:00"/>
        <d v="2022-12-10T00:00:00"/>
        <d v="2023-12-26T00:00:00"/>
        <d v="2022-11-15T00:00:00"/>
        <d v="2022-08-22T00:00:00"/>
        <d v="2022-09-11T00:00:00"/>
        <d v="2022-12-22T00:00:00"/>
        <d v="2022-12-18T00:00:00"/>
        <d v="2022-02-20T00:00:00"/>
        <d v="2024-03-06T00:00:00"/>
        <d v="2022-10-15T00:00:00"/>
        <d v="2024-01-07T00:00:00"/>
        <d v="2023-10-15T00:00:00"/>
        <d v="2024-05-12T00:00:00"/>
        <d v="2022-07-21T00:00:00"/>
        <d v="2022-03-26T00:00:00"/>
        <d v="2023-04-21T00:00:00"/>
        <d v="2024-06-21T00:00:00"/>
        <d v="2022-03-05T00:00:00"/>
        <d v="2022-08-09T00:00:00"/>
        <d v="2023-10-26T00:00:00"/>
        <d v="2024-06-14T00:00:00"/>
        <d v="2023-11-21T00:00:00"/>
        <d v="2022-06-06T00:00:00"/>
        <d v="2023-03-26T00:00:00"/>
        <d v="2022-09-18T00:00:00"/>
        <d v="2023-01-13T00:00:00"/>
        <d v="2023-05-25T00:00:00"/>
        <d v="2023-07-21T00:00:00"/>
        <d v="2022-11-27T00:00:00"/>
        <d v="2023-05-08T00:00:00"/>
        <d v="2023-07-23T00:00:00"/>
        <d v="2022-08-24T00:00:00"/>
        <d v="2024-05-05T00:00:00"/>
        <d v="2023-08-21T00:00:00"/>
        <d v="2024-05-01T00:00:00"/>
        <d v="2022-06-12T00:00:00"/>
        <d v="2022-09-13T00:00:00"/>
        <d v="2022-04-18T00:00:00"/>
        <d v="2023-08-14T00:00:00"/>
        <d v="2022-07-10T00:00:00"/>
        <d v="2023-07-03T00:00:00"/>
        <d v="2023-06-15T00:00:00"/>
        <d v="2022-06-26T00:00:00"/>
        <d v="2022-11-12T00:00:00"/>
        <d v="2022-06-18T00:00:00"/>
        <d v="2023-06-11T00:00:00"/>
        <d v="2023-06-14T00:00:00"/>
        <d v="2022-09-23T00:00:00"/>
        <d v="2022-09-21T00:00:00"/>
        <d v="2022-04-10T00:00:00"/>
        <d v="2024-02-19T00:00:00"/>
        <d v="2022-07-08T00:00:00"/>
        <d v="2022-08-31T00:00:00"/>
        <d v="2024-04-28T00:00:00"/>
        <d v="2022-08-01T00:00:00"/>
        <d v="2023-02-24T00:00:00"/>
        <d v="2024-01-27T00:00:00"/>
        <d v="2023-05-19T00:00:00"/>
        <d v="2022-05-04T00:00:00"/>
        <d v="2024-05-07T00:00:00"/>
        <d v="2022-05-24T00:00:00"/>
        <d v="2024-01-09T00:00:00"/>
        <d v="2022-03-08T00:00:00"/>
        <d v="2023-12-06T00:00:00"/>
        <d v="2023-02-21T00:00:00"/>
        <d v="2022-10-12T00:00:00"/>
        <d v="2022-10-11T00:00:00"/>
        <d v="2023-09-28T00:00:00"/>
        <d v="2023-03-17T00:00:00"/>
        <d v="2022-10-18T00:00:00"/>
        <d v="2022-05-17T00:00:00"/>
        <d v="2023-07-06T00:00:00"/>
        <d v="2022-01-15T00:00:00"/>
        <d v="2022-04-01T00:00:00"/>
        <d v="2022-03-02T00:00:00"/>
        <d v="2022-10-05T00:00:00"/>
        <d v="2023-12-05T00:00:00"/>
        <d v="2023-04-27T00:00:00"/>
        <d v="2023-07-10T00:00:00"/>
        <d v="2022-11-10T00:00:00"/>
        <d v="2022-05-29T00:00:00"/>
        <d v="2023-10-24T00:00:00"/>
        <d v="2022-04-02T00:00:00"/>
        <d v="2023-10-02T00:00:00"/>
        <d v="2023-10-27T00:00:00"/>
        <d v="2024-02-10T00:00:00"/>
        <d v="2023-03-13T00:00:00"/>
        <d v="2023-04-26T00:00:00"/>
        <d v="2023-03-30T00:00:00"/>
        <d v="2022-07-09T00:00:00"/>
        <d v="2023-11-04T00:00:00"/>
        <d v="2024-03-01T00:00:00"/>
        <d v="2022-06-16T00:00:00"/>
        <d v="2022-08-21T00:00:00"/>
        <d v="2023-01-06T00:00:00"/>
        <d v="2023-03-16T00:00:00"/>
        <d v="2023-02-26T00:00:00"/>
        <d v="2024-04-03T00:00:00"/>
        <d v="2022-10-04T00:00:00"/>
        <d v="2022-09-27T00:00:00"/>
        <d v="2023-09-12T00:00:00"/>
        <d v="2024-06-19T00:00:00"/>
        <d v="2024-03-16T00:00:00"/>
        <d v="2022-04-15T00:00:00"/>
        <d v="2024-02-09T00:00:00"/>
        <d v="2024-03-29T00:00:00"/>
        <d v="2024-02-26T00:00:00"/>
        <d v="2022-07-16T00:00:00"/>
        <d v="2024-03-15T00:00:00"/>
        <d v="2022-03-04T00:00:00"/>
        <d v="2022-06-30T00:00:00"/>
        <d v="2022-09-24T00:00:00"/>
        <d v="2023-05-10T00:00:00"/>
        <d v="2022-02-22T00:00:00"/>
        <d v="2023-05-28T00:00:00"/>
        <d v="2022-04-26T00:00:00"/>
        <d v="2024-06-15T00:00:00"/>
        <d v="2022-08-08T00:00:00"/>
        <d v="2023-02-10T00:00:00"/>
        <d v="2022-01-17T00:00:00"/>
        <d v="2022-05-27T00:00:00"/>
        <d v="2023-04-19T00:00:00"/>
        <d v="2022-01-20T00:00:00"/>
        <d v="2022-12-15T00:00:00"/>
        <d v="2023-05-02T00:00:00"/>
        <d v="2024-07-15T00:00:00"/>
        <d v="2022-08-26T00:00:00"/>
        <d v="2022-06-29T00:00:00"/>
        <d v="2024-01-28T00:00:00"/>
        <d v="2024-01-16T00:00:00"/>
        <d v="2023-03-18T00:00:00"/>
        <d v="2023-07-09T00:00:00"/>
        <d v="2022-11-28T00:00:00"/>
        <d v="2023-02-06T00:00:00"/>
        <d v="2023-08-25T00:00:00"/>
        <d v="2023-05-22T00:00:00"/>
        <d v="2024-06-20T00:00:00"/>
        <d v="2023-12-19T00:00:00"/>
        <d v="2022-05-08T00:00:00"/>
        <d v="2023-05-14T00:00:00"/>
        <d v="2022-08-30T00:00:00"/>
        <d v="2023-04-16T00:00:00"/>
        <d v="2022-08-12T00:00:00"/>
        <d v="2023-10-12T00:00:00"/>
        <d v="2022-09-12T00:00:00"/>
        <d v="2022-03-21T00:00:00"/>
        <d v="2023-09-13T00:00:00"/>
        <d v="2023-11-06T00:00:00"/>
        <d v="2022-10-23T00:00:00"/>
        <d v="2022-12-04T00:00:00"/>
        <d v="2022-07-02T00:00:00"/>
        <d v="2022-11-20T00:00:00"/>
      </sharedItems>
    </cacheField>
    <cacheField name="Loan Status" numFmtId="0">
      <sharedItems containsBlank="1" count="4">
        <s v="Approved"/>
        <s v="Default"/>
        <s v="Rejected"/>
        <m/>
      </sharedItems>
    </cacheField>
    <cacheField name="Default Flag" numFmtId="0">
      <sharedItems containsString="0" containsBlank="1" containsNumber="1" containsInteger="1" minValue="0" maxValue="1"/>
    </cacheField>
  </cacheFields>
  <extLst>
    <ext xmlns:x14="http://schemas.microsoft.com/office/spreadsheetml/2009/9/main" uri="{725AE2AE-9491-48be-B2B4-4EB974FC3084}">
      <x14:pivotCacheDefinition pivotCacheId="1595625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L0001"/>
    <s v="Ravi"/>
    <n v="35"/>
    <x v="0"/>
    <x v="0"/>
    <x v="0"/>
    <x v="0"/>
    <x v="0"/>
    <x v="0"/>
    <n v="1152688"/>
    <n v="20"/>
    <n v="10.23"/>
    <x v="0"/>
    <x v="0"/>
    <x v="0"/>
    <d v="2023-05-14T00:00:00"/>
    <x v="0"/>
    <x v="0"/>
    <n v="0"/>
  </r>
  <r>
    <s v="L0002"/>
    <s v="Rahul"/>
    <n v="32"/>
    <x v="0"/>
    <x v="0"/>
    <x v="1"/>
    <x v="1"/>
    <x v="1"/>
    <x v="1"/>
    <n v="1343831"/>
    <n v="10"/>
    <n v="10.67"/>
    <x v="1"/>
    <x v="1"/>
    <x v="1"/>
    <d v="2024-01-19T00:00:00"/>
    <x v="1"/>
    <x v="0"/>
    <n v="0"/>
  </r>
  <r>
    <s v="L0003"/>
    <s v="Ankit"/>
    <n v="41"/>
    <x v="0"/>
    <x v="1"/>
    <x v="2"/>
    <x v="1"/>
    <x v="2"/>
    <x v="1"/>
    <n v="1906273"/>
    <n v="5"/>
    <n v="7.72"/>
    <x v="2"/>
    <x v="0"/>
    <x v="2"/>
    <d v="2023-03-31T00:00:00"/>
    <x v="2"/>
    <x v="0"/>
    <n v="0"/>
  </r>
  <r>
    <s v="L0004"/>
    <s v="Kiran"/>
    <n v="41"/>
    <x v="0"/>
    <x v="0"/>
    <x v="3"/>
    <x v="2"/>
    <x v="3"/>
    <x v="0"/>
    <n v="1891306"/>
    <n v="15"/>
    <n v="12.07"/>
    <x v="3"/>
    <x v="1"/>
    <x v="2"/>
    <d v="2023-07-22T00:00:00"/>
    <x v="3"/>
    <x v="0"/>
    <n v="0"/>
  </r>
  <r>
    <s v="L0005"/>
    <s v="Ankit"/>
    <n v="37"/>
    <x v="0"/>
    <x v="1"/>
    <x v="4"/>
    <x v="2"/>
    <x v="4"/>
    <x v="1"/>
    <n v="1683861"/>
    <n v="15"/>
    <n v="12.99"/>
    <x v="4"/>
    <x v="2"/>
    <x v="3"/>
    <d v="2022-11-30T00:00:00"/>
    <x v="4"/>
    <x v="1"/>
    <n v="1"/>
  </r>
  <r>
    <s v="L0006"/>
    <s v="Ravi"/>
    <n v="64"/>
    <x v="1"/>
    <x v="0"/>
    <x v="5"/>
    <x v="1"/>
    <x v="5"/>
    <x v="1"/>
    <n v="837690"/>
    <n v="15"/>
    <n v="11.7"/>
    <x v="5"/>
    <x v="0"/>
    <x v="1"/>
    <d v="2023-04-29T00:00:00"/>
    <x v="5"/>
    <x v="0"/>
    <n v="0"/>
  </r>
  <r>
    <s v="L0007"/>
    <s v="Sneha"/>
    <n v="25"/>
    <x v="2"/>
    <x v="1"/>
    <x v="6"/>
    <x v="2"/>
    <x v="6"/>
    <x v="0"/>
    <n v="678185"/>
    <n v="5"/>
    <n v="11.32"/>
    <x v="6"/>
    <x v="0"/>
    <x v="1"/>
    <d v="2024-05-20T00:00:00"/>
    <x v="6"/>
    <x v="0"/>
    <n v="0"/>
  </r>
  <r>
    <s v="L0008"/>
    <s v="Pooja"/>
    <n v="29"/>
    <x v="2"/>
    <x v="0"/>
    <x v="7"/>
    <x v="0"/>
    <x v="7"/>
    <x v="1"/>
    <n v="1352121"/>
    <n v="5"/>
    <n v="11.57"/>
    <x v="7"/>
    <x v="2"/>
    <x v="3"/>
    <d v="2023-06-02T00:00:00"/>
    <x v="7"/>
    <x v="0"/>
    <n v="0"/>
  </r>
  <r>
    <s v="L0009"/>
    <s v="Rahul"/>
    <n v="25"/>
    <x v="2"/>
    <x v="1"/>
    <x v="8"/>
    <x v="0"/>
    <x v="8"/>
    <x v="0"/>
    <n v="1284438"/>
    <n v="15"/>
    <n v="13.88"/>
    <x v="8"/>
    <x v="0"/>
    <x v="0"/>
    <d v="2022-10-20T00:00:00"/>
    <x v="8"/>
    <x v="0"/>
    <n v="0"/>
  </r>
  <r>
    <s v="L0010"/>
    <s v="Suresh"/>
    <n v="28"/>
    <x v="2"/>
    <x v="1"/>
    <x v="9"/>
    <x v="0"/>
    <x v="9"/>
    <x v="2"/>
    <n v="994439"/>
    <n v="10"/>
    <n v="14.72"/>
    <x v="9"/>
    <x v="1"/>
    <x v="0"/>
    <d v="2024-04-12T00:00:00"/>
    <x v="9"/>
    <x v="0"/>
    <n v="0"/>
  </r>
  <r>
    <s v="L0011"/>
    <s v="Pooja"/>
    <n v="37"/>
    <x v="0"/>
    <x v="1"/>
    <x v="10"/>
    <x v="2"/>
    <x v="10"/>
    <x v="0"/>
    <n v="1669736"/>
    <n v="10"/>
    <n v="10.029999999999999"/>
    <x v="10"/>
    <x v="3"/>
    <x v="2"/>
    <d v="2022-11-24T00:00:00"/>
    <x v="10"/>
    <x v="2"/>
    <n v="0"/>
  </r>
  <r>
    <s v="L0012"/>
    <s v="Amit"/>
    <n v="55"/>
    <x v="1"/>
    <x v="0"/>
    <x v="11"/>
    <x v="2"/>
    <x v="11"/>
    <x v="0"/>
    <n v="259823"/>
    <n v="20"/>
    <n v="8.84"/>
    <x v="11"/>
    <x v="4"/>
    <x v="2"/>
    <d v="2023-03-25T00:00:00"/>
    <x v="11"/>
    <x v="0"/>
    <n v="0"/>
  </r>
  <r>
    <s v="L0013"/>
    <s v="Neha"/>
    <n v="41"/>
    <x v="0"/>
    <x v="1"/>
    <x v="12"/>
    <x v="2"/>
    <x v="12"/>
    <x v="0"/>
    <n v="1793246"/>
    <n v="15"/>
    <n v="9.2200000000000006"/>
    <x v="12"/>
    <x v="1"/>
    <x v="0"/>
    <d v="2023-11-25T00:00:00"/>
    <x v="12"/>
    <x v="1"/>
    <n v="1"/>
  </r>
  <r>
    <s v="L0014"/>
    <s v="Rahul"/>
    <n v="56"/>
    <x v="1"/>
    <x v="0"/>
    <x v="13"/>
    <x v="2"/>
    <x v="13"/>
    <x v="2"/>
    <n v="897250"/>
    <n v="10"/>
    <n v="10.44"/>
    <x v="13"/>
    <x v="2"/>
    <x v="1"/>
    <d v="2022-12-03T00:00:00"/>
    <x v="13"/>
    <x v="0"/>
    <n v="0"/>
  </r>
  <r>
    <s v="L0015"/>
    <s v="Neha"/>
    <n v="42"/>
    <x v="0"/>
    <x v="1"/>
    <x v="14"/>
    <x v="1"/>
    <x v="14"/>
    <x v="1"/>
    <n v="297921"/>
    <n v="15"/>
    <n v="14.3"/>
    <x v="14"/>
    <x v="3"/>
    <x v="2"/>
    <d v="2024-02-14T00:00:00"/>
    <x v="14"/>
    <x v="0"/>
    <n v="0"/>
  </r>
  <r>
    <s v="L0016"/>
    <s v="Sneha"/>
    <n v="65"/>
    <x v="1"/>
    <x v="0"/>
    <x v="15"/>
    <x v="2"/>
    <x v="15"/>
    <x v="2"/>
    <n v="747825"/>
    <n v="10"/>
    <n v="14.49"/>
    <x v="15"/>
    <x v="1"/>
    <x v="2"/>
    <d v="2022-09-28T00:00:00"/>
    <x v="15"/>
    <x v="0"/>
    <n v="0"/>
  </r>
  <r>
    <s v="L0017"/>
    <s v="Priya"/>
    <n v="64"/>
    <x v="1"/>
    <x v="0"/>
    <x v="16"/>
    <x v="2"/>
    <x v="16"/>
    <x v="2"/>
    <n v="383116"/>
    <n v="20"/>
    <n v="8.56"/>
    <x v="16"/>
    <x v="2"/>
    <x v="1"/>
    <d v="2024-06-03T00:00:00"/>
    <x v="16"/>
    <x v="0"/>
    <n v="0"/>
  </r>
  <r>
    <s v="L0018"/>
    <s v="Pooja"/>
    <n v="53"/>
    <x v="1"/>
    <x v="1"/>
    <x v="17"/>
    <x v="0"/>
    <x v="17"/>
    <x v="0"/>
    <n v="509476"/>
    <n v="20"/>
    <n v="8.3000000000000007"/>
    <x v="17"/>
    <x v="3"/>
    <x v="2"/>
    <d v="2023-03-09T00:00:00"/>
    <x v="17"/>
    <x v="0"/>
    <n v="0"/>
  </r>
  <r>
    <s v="L0019"/>
    <s v="Amit"/>
    <n v="61"/>
    <x v="1"/>
    <x v="0"/>
    <x v="18"/>
    <x v="1"/>
    <x v="18"/>
    <x v="1"/>
    <n v="1826470"/>
    <n v="10"/>
    <n v="13.06"/>
    <x v="18"/>
    <x v="4"/>
    <x v="3"/>
    <d v="2023-09-01T00:00:00"/>
    <x v="10"/>
    <x v="2"/>
    <n v="0"/>
  </r>
  <r>
    <s v="L0020"/>
    <s v="Kiran"/>
    <n v="37"/>
    <x v="0"/>
    <x v="1"/>
    <x v="19"/>
    <x v="1"/>
    <x v="19"/>
    <x v="1"/>
    <n v="1095766"/>
    <n v="5"/>
    <n v="9.9700000000000006"/>
    <x v="19"/>
    <x v="4"/>
    <x v="2"/>
    <d v="2022-05-02T00:00:00"/>
    <x v="18"/>
    <x v="1"/>
    <n v="1"/>
  </r>
  <r>
    <s v="L0021"/>
    <s v="Rahul"/>
    <n v="64"/>
    <x v="1"/>
    <x v="1"/>
    <x v="20"/>
    <x v="2"/>
    <x v="20"/>
    <x v="0"/>
    <n v="1550217"/>
    <n v="10"/>
    <n v="12.11"/>
    <x v="20"/>
    <x v="1"/>
    <x v="3"/>
    <d v="2022-09-20T00:00:00"/>
    <x v="19"/>
    <x v="1"/>
    <n v="1"/>
  </r>
  <r>
    <s v="L0022"/>
    <s v="Neha"/>
    <n v="32"/>
    <x v="0"/>
    <x v="1"/>
    <x v="21"/>
    <x v="2"/>
    <x v="21"/>
    <x v="1"/>
    <n v="658629"/>
    <n v="15"/>
    <n v="11.15"/>
    <x v="21"/>
    <x v="1"/>
    <x v="3"/>
    <d v="2023-04-19T00:00:00"/>
    <x v="20"/>
    <x v="0"/>
    <n v="0"/>
  </r>
  <r>
    <s v="L0023"/>
    <s v="Sneha"/>
    <n v="35"/>
    <x v="0"/>
    <x v="1"/>
    <x v="22"/>
    <x v="0"/>
    <x v="22"/>
    <x v="2"/>
    <n v="1530053"/>
    <n v="5"/>
    <n v="14.02"/>
    <x v="22"/>
    <x v="1"/>
    <x v="2"/>
    <d v="2022-12-08T00:00:00"/>
    <x v="10"/>
    <x v="2"/>
    <n v="0"/>
  </r>
  <r>
    <s v="L0024"/>
    <s v="Suresh"/>
    <n v="64"/>
    <x v="1"/>
    <x v="0"/>
    <x v="23"/>
    <x v="2"/>
    <x v="23"/>
    <x v="2"/>
    <n v="364086"/>
    <n v="15"/>
    <n v="7.63"/>
    <x v="23"/>
    <x v="4"/>
    <x v="0"/>
    <d v="2024-05-04T00:00:00"/>
    <x v="21"/>
    <x v="0"/>
    <n v="0"/>
  </r>
  <r>
    <s v="L0025"/>
    <s v="Suresh"/>
    <n v="54"/>
    <x v="1"/>
    <x v="0"/>
    <x v="24"/>
    <x v="0"/>
    <x v="24"/>
    <x v="1"/>
    <n v="1457972"/>
    <n v="5"/>
    <n v="8.06"/>
    <x v="24"/>
    <x v="3"/>
    <x v="2"/>
    <d v="2023-08-30T00:00:00"/>
    <x v="22"/>
    <x v="1"/>
    <n v="1"/>
  </r>
  <r>
    <s v="L0026"/>
    <s v="Rahul"/>
    <n v="48"/>
    <x v="1"/>
    <x v="0"/>
    <x v="25"/>
    <x v="0"/>
    <x v="25"/>
    <x v="0"/>
    <n v="477014"/>
    <n v="20"/>
    <n v="11.77"/>
    <x v="25"/>
    <x v="4"/>
    <x v="1"/>
    <d v="2022-09-14T00:00:00"/>
    <x v="19"/>
    <x v="0"/>
    <n v="0"/>
  </r>
  <r>
    <s v="L0027"/>
    <s v="Neha"/>
    <n v="35"/>
    <x v="0"/>
    <x v="1"/>
    <x v="26"/>
    <x v="2"/>
    <x v="26"/>
    <x v="1"/>
    <n v="618988"/>
    <n v="20"/>
    <n v="12.51"/>
    <x v="26"/>
    <x v="3"/>
    <x v="1"/>
    <d v="2022-06-25T00:00:00"/>
    <x v="23"/>
    <x v="0"/>
    <n v="0"/>
  </r>
  <r>
    <s v="L0028"/>
    <s v="Ankit"/>
    <n v="32"/>
    <x v="0"/>
    <x v="0"/>
    <x v="27"/>
    <x v="2"/>
    <x v="27"/>
    <x v="2"/>
    <n v="1460510"/>
    <n v="5"/>
    <n v="13.6"/>
    <x v="27"/>
    <x v="1"/>
    <x v="2"/>
    <d v="2022-03-02T00:00:00"/>
    <x v="24"/>
    <x v="0"/>
    <n v="0"/>
  </r>
  <r>
    <s v="L0029"/>
    <s v="Pooja"/>
    <n v="24"/>
    <x v="2"/>
    <x v="0"/>
    <x v="28"/>
    <x v="0"/>
    <x v="28"/>
    <x v="2"/>
    <n v="1566532"/>
    <n v="10"/>
    <n v="10.79"/>
    <x v="28"/>
    <x v="3"/>
    <x v="0"/>
    <d v="2023-04-24T00:00:00"/>
    <x v="20"/>
    <x v="0"/>
    <n v="0"/>
  </r>
  <r>
    <s v="L0030"/>
    <s v="Neha"/>
    <n v="55"/>
    <x v="1"/>
    <x v="1"/>
    <x v="29"/>
    <x v="0"/>
    <x v="29"/>
    <x v="2"/>
    <n v="1959208"/>
    <n v="20"/>
    <n v="7.33"/>
    <x v="29"/>
    <x v="2"/>
    <x v="3"/>
    <d v="2022-06-07T00:00:00"/>
    <x v="25"/>
    <x v="0"/>
    <n v="0"/>
  </r>
  <r>
    <s v="L0031"/>
    <s v="Rahul"/>
    <n v="37"/>
    <x v="0"/>
    <x v="1"/>
    <x v="30"/>
    <x v="0"/>
    <x v="30"/>
    <x v="0"/>
    <n v="1299810"/>
    <n v="15"/>
    <n v="13.75"/>
    <x v="30"/>
    <x v="2"/>
    <x v="0"/>
    <d v="2023-05-03T00:00:00"/>
    <x v="10"/>
    <x v="2"/>
    <n v="0"/>
  </r>
  <r>
    <s v="L0032"/>
    <s v="Priya"/>
    <n v="40"/>
    <x v="0"/>
    <x v="0"/>
    <x v="31"/>
    <x v="0"/>
    <x v="31"/>
    <x v="0"/>
    <n v="908996"/>
    <n v="5"/>
    <n v="8.2899999999999991"/>
    <x v="31"/>
    <x v="3"/>
    <x v="3"/>
    <d v="2022-12-01T00:00:00"/>
    <x v="10"/>
    <x v="2"/>
    <n v="0"/>
  </r>
  <r>
    <s v="L0033"/>
    <s v="Kiran"/>
    <n v="50"/>
    <x v="1"/>
    <x v="1"/>
    <x v="32"/>
    <x v="2"/>
    <x v="16"/>
    <x v="2"/>
    <n v="274555"/>
    <n v="5"/>
    <n v="13.17"/>
    <x v="32"/>
    <x v="4"/>
    <x v="3"/>
    <d v="2022-11-04T00:00:00"/>
    <x v="26"/>
    <x v="0"/>
    <n v="0"/>
  </r>
  <r>
    <s v="L0034"/>
    <s v="Sneha"/>
    <n v="56"/>
    <x v="1"/>
    <x v="1"/>
    <x v="33"/>
    <x v="2"/>
    <x v="32"/>
    <x v="0"/>
    <n v="1721916"/>
    <n v="15"/>
    <n v="14.24"/>
    <x v="33"/>
    <x v="4"/>
    <x v="2"/>
    <d v="2023-05-09T00:00:00"/>
    <x v="27"/>
    <x v="0"/>
    <n v="0"/>
  </r>
  <r>
    <s v="L0035"/>
    <s v="Suresh"/>
    <n v="37"/>
    <x v="0"/>
    <x v="1"/>
    <x v="34"/>
    <x v="0"/>
    <x v="33"/>
    <x v="0"/>
    <n v="1691135"/>
    <n v="10"/>
    <n v="7.34"/>
    <x v="34"/>
    <x v="2"/>
    <x v="1"/>
    <d v="2023-09-17T00:00:00"/>
    <x v="10"/>
    <x v="2"/>
    <n v="0"/>
  </r>
  <r>
    <s v="L0036"/>
    <s v="Kiran"/>
    <n v="27"/>
    <x v="2"/>
    <x v="0"/>
    <x v="35"/>
    <x v="1"/>
    <x v="34"/>
    <x v="1"/>
    <n v="1351169"/>
    <n v="15"/>
    <n v="14.77"/>
    <x v="35"/>
    <x v="4"/>
    <x v="1"/>
    <d v="2023-03-30T00:00:00"/>
    <x v="28"/>
    <x v="0"/>
    <n v="0"/>
  </r>
  <r>
    <s v="L0037"/>
    <s v="Pooja"/>
    <n v="37"/>
    <x v="0"/>
    <x v="0"/>
    <x v="36"/>
    <x v="0"/>
    <x v="35"/>
    <x v="2"/>
    <n v="1267892"/>
    <n v="5"/>
    <n v="11.18"/>
    <x v="36"/>
    <x v="1"/>
    <x v="2"/>
    <d v="2023-01-11T00:00:00"/>
    <x v="29"/>
    <x v="1"/>
    <n v="1"/>
  </r>
  <r>
    <s v="L0038"/>
    <s v="Ankit"/>
    <n v="57"/>
    <x v="1"/>
    <x v="1"/>
    <x v="37"/>
    <x v="1"/>
    <x v="36"/>
    <x v="2"/>
    <n v="851925"/>
    <n v="15"/>
    <n v="13.53"/>
    <x v="37"/>
    <x v="1"/>
    <x v="3"/>
    <d v="2022-05-19T00:00:00"/>
    <x v="30"/>
    <x v="0"/>
    <n v="0"/>
  </r>
  <r>
    <s v="L0039"/>
    <s v="Neha"/>
    <n v="61"/>
    <x v="1"/>
    <x v="0"/>
    <x v="38"/>
    <x v="2"/>
    <x v="37"/>
    <x v="2"/>
    <n v="1229424"/>
    <n v="20"/>
    <n v="11.06"/>
    <x v="38"/>
    <x v="1"/>
    <x v="0"/>
    <d v="2022-10-14T00:00:00"/>
    <x v="31"/>
    <x v="0"/>
    <n v="0"/>
  </r>
  <r>
    <s v="L0040"/>
    <s v="Rahul"/>
    <n v="35"/>
    <x v="0"/>
    <x v="1"/>
    <x v="39"/>
    <x v="1"/>
    <x v="38"/>
    <x v="0"/>
    <n v="199633"/>
    <n v="5"/>
    <n v="9.35"/>
    <x v="39"/>
    <x v="0"/>
    <x v="3"/>
    <d v="2023-07-06T00:00:00"/>
    <x v="32"/>
    <x v="0"/>
    <n v="0"/>
  </r>
  <r>
    <s v="L0041"/>
    <s v="Pooja"/>
    <n v="61"/>
    <x v="1"/>
    <x v="0"/>
    <x v="40"/>
    <x v="2"/>
    <x v="39"/>
    <x v="0"/>
    <n v="260049"/>
    <n v="5"/>
    <n v="9.91"/>
    <x v="40"/>
    <x v="0"/>
    <x v="3"/>
    <d v="2022-04-08T00:00:00"/>
    <x v="33"/>
    <x v="0"/>
    <n v="0"/>
  </r>
  <r>
    <s v="L0042"/>
    <s v="Sneha"/>
    <n v="40"/>
    <x v="0"/>
    <x v="1"/>
    <x v="41"/>
    <x v="2"/>
    <x v="40"/>
    <x v="0"/>
    <n v="1687585"/>
    <n v="20"/>
    <n v="11.57"/>
    <x v="41"/>
    <x v="0"/>
    <x v="2"/>
    <d v="2023-08-01T00:00:00"/>
    <x v="10"/>
    <x v="2"/>
    <n v="0"/>
  </r>
  <r>
    <s v="L0043"/>
    <s v="Ravi"/>
    <n v="36"/>
    <x v="0"/>
    <x v="1"/>
    <x v="42"/>
    <x v="1"/>
    <x v="41"/>
    <x v="0"/>
    <n v="1579620"/>
    <n v="15"/>
    <n v="8.44"/>
    <x v="42"/>
    <x v="4"/>
    <x v="0"/>
    <d v="2023-01-07T00:00:00"/>
    <x v="34"/>
    <x v="0"/>
    <n v="0"/>
  </r>
  <r>
    <s v="L0044"/>
    <s v="Neha"/>
    <n v="57"/>
    <x v="1"/>
    <x v="0"/>
    <x v="43"/>
    <x v="1"/>
    <x v="42"/>
    <x v="0"/>
    <n v="342270"/>
    <n v="20"/>
    <n v="9.83"/>
    <x v="43"/>
    <x v="4"/>
    <x v="1"/>
    <d v="2024-05-04T00:00:00"/>
    <x v="10"/>
    <x v="2"/>
    <n v="0"/>
  </r>
  <r>
    <s v="L0045"/>
    <s v="Amit"/>
    <n v="49"/>
    <x v="1"/>
    <x v="0"/>
    <x v="44"/>
    <x v="1"/>
    <x v="43"/>
    <x v="0"/>
    <n v="1633512"/>
    <n v="10"/>
    <n v="11.15"/>
    <x v="44"/>
    <x v="3"/>
    <x v="2"/>
    <d v="2024-05-11T00:00:00"/>
    <x v="10"/>
    <x v="2"/>
    <n v="0"/>
  </r>
  <r>
    <s v="L0046"/>
    <s v="Ravi"/>
    <n v="30"/>
    <x v="0"/>
    <x v="1"/>
    <x v="45"/>
    <x v="1"/>
    <x v="44"/>
    <x v="1"/>
    <n v="1083689"/>
    <n v="15"/>
    <n v="13.33"/>
    <x v="45"/>
    <x v="4"/>
    <x v="0"/>
    <d v="2023-08-30T00:00:00"/>
    <x v="10"/>
    <x v="2"/>
    <n v="0"/>
  </r>
  <r>
    <s v="L0047"/>
    <s v="Kiran"/>
    <n v="58"/>
    <x v="1"/>
    <x v="1"/>
    <x v="46"/>
    <x v="0"/>
    <x v="45"/>
    <x v="0"/>
    <n v="939894"/>
    <n v="5"/>
    <n v="13.25"/>
    <x v="46"/>
    <x v="4"/>
    <x v="2"/>
    <d v="2024-05-30T00:00:00"/>
    <x v="16"/>
    <x v="1"/>
    <n v="1"/>
  </r>
  <r>
    <s v="L0048"/>
    <s v="Neha"/>
    <n v="31"/>
    <x v="0"/>
    <x v="0"/>
    <x v="47"/>
    <x v="1"/>
    <x v="46"/>
    <x v="0"/>
    <n v="1724617"/>
    <n v="10"/>
    <n v="9.4700000000000006"/>
    <x v="47"/>
    <x v="4"/>
    <x v="2"/>
    <d v="2024-04-25T00:00:00"/>
    <x v="10"/>
    <x v="2"/>
    <n v="0"/>
  </r>
  <r>
    <s v="L0049"/>
    <s v="Kiran"/>
    <n v="29"/>
    <x v="2"/>
    <x v="0"/>
    <x v="48"/>
    <x v="0"/>
    <x v="47"/>
    <x v="1"/>
    <n v="1715762"/>
    <n v="5"/>
    <n v="13.79"/>
    <x v="48"/>
    <x v="4"/>
    <x v="0"/>
    <d v="2023-02-28T00:00:00"/>
    <x v="35"/>
    <x v="0"/>
    <n v="0"/>
  </r>
  <r>
    <s v="L0050"/>
    <s v="Ankit"/>
    <n v="59"/>
    <x v="1"/>
    <x v="1"/>
    <x v="49"/>
    <x v="2"/>
    <x v="48"/>
    <x v="1"/>
    <n v="662004"/>
    <n v="5"/>
    <n v="13.1"/>
    <x v="49"/>
    <x v="3"/>
    <x v="3"/>
    <d v="2023-05-25T00:00:00"/>
    <x v="10"/>
    <x v="2"/>
    <n v="0"/>
  </r>
  <r>
    <s v="L0051"/>
    <s v="Sneha"/>
    <n v="36"/>
    <x v="0"/>
    <x v="0"/>
    <x v="50"/>
    <x v="2"/>
    <x v="49"/>
    <x v="0"/>
    <n v="1547704"/>
    <n v="20"/>
    <n v="11.75"/>
    <x v="50"/>
    <x v="2"/>
    <x v="0"/>
    <d v="2023-12-25T00:00:00"/>
    <x v="36"/>
    <x v="0"/>
    <n v="0"/>
  </r>
  <r>
    <s v="L0052"/>
    <s v="Pooja"/>
    <n v="59"/>
    <x v="1"/>
    <x v="1"/>
    <x v="51"/>
    <x v="0"/>
    <x v="50"/>
    <x v="0"/>
    <n v="579292"/>
    <n v="5"/>
    <n v="10.43"/>
    <x v="51"/>
    <x v="0"/>
    <x v="0"/>
    <d v="2022-07-17T00:00:00"/>
    <x v="37"/>
    <x v="0"/>
    <n v="0"/>
  </r>
  <r>
    <s v="L0053"/>
    <s v="Suresh"/>
    <n v="27"/>
    <x v="2"/>
    <x v="0"/>
    <x v="52"/>
    <x v="0"/>
    <x v="51"/>
    <x v="1"/>
    <n v="1016879"/>
    <n v="10"/>
    <n v="7.59"/>
    <x v="52"/>
    <x v="2"/>
    <x v="2"/>
    <d v="2024-04-17T00:00:00"/>
    <x v="10"/>
    <x v="2"/>
    <n v="0"/>
  </r>
  <r>
    <s v="L0054"/>
    <s v="Amit"/>
    <n v="28"/>
    <x v="2"/>
    <x v="1"/>
    <x v="53"/>
    <x v="0"/>
    <x v="52"/>
    <x v="1"/>
    <n v="813892"/>
    <n v="10"/>
    <n v="9.44"/>
    <x v="53"/>
    <x v="2"/>
    <x v="3"/>
    <d v="2024-03-21T00:00:00"/>
    <x v="38"/>
    <x v="1"/>
    <n v="1"/>
  </r>
  <r>
    <s v="L0055"/>
    <s v="Ankit"/>
    <n v="36"/>
    <x v="0"/>
    <x v="1"/>
    <x v="54"/>
    <x v="1"/>
    <x v="53"/>
    <x v="0"/>
    <n v="478151"/>
    <n v="15"/>
    <n v="8.82"/>
    <x v="54"/>
    <x v="0"/>
    <x v="1"/>
    <d v="2022-01-31T00:00:00"/>
    <x v="39"/>
    <x v="1"/>
    <n v="1"/>
  </r>
  <r>
    <s v="L0056"/>
    <s v="Pooja"/>
    <n v="22"/>
    <x v="2"/>
    <x v="0"/>
    <x v="55"/>
    <x v="0"/>
    <x v="54"/>
    <x v="0"/>
    <n v="1544603"/>
    <n v="15"/>
    <n v="10.18"/>
    <x v="55"/>
    <x v="1"/>
    <x v="3"/>
    <d v="2022-09-13T00:00:00"/>
    <x v="40"/>
    <x v="0"/>
    <n v="0"/>
  </r>
  <r>
    <s v="L0057"/>
    <s v="Neha"/>
    <n v="31"/>
    <x v="0"/>
    <x v="1"/>
    <x v="56"/>
    <x v="2"/>
    <x v="55"/>
    <x v="0"/>
    <n v="1463730"/>
    <n v="15"/>
    <n v="12.85"/>
    <x v="56"/>
    <x v="1"/>
    <x v="3"/>
    <d v="2023-10-08T00:00:00"/>
    <x v="41"/>
    <x v="1"/>
    <n v="1"/>
  </r>
  <r>
    <s v="L0058"/>
    <s v="Neha"/>
    <n v="63"/>
    <x v="1"/>
    <x v="1"/>
    <x v="57"/>
    <x v="0"/>
    <x v="56"/>
    <x v="2"/>
    <n v="884671"/>
    <n v="15"/>
    <n v="7.91"/>
    <x v="57"/>
    <x v="4"/>
    <x v="3"/>
    <d v="2024-02-19T00:00:00"/>
    <x v="42"/>
    <x v="0"/>
    <n v="0"/>
  </r>
  <r>
    <s v="L0059"/>
    <s v="Pooja"/>
    <n v="49"/>
    <x v="1"/>
    <x v="1"/>
    <x v="58"/>
    <x v="1"/>
    <x v="0"/>
    <x v="0"/>
    <n v="1003966"/>
    <n v="10"/>
    <n v="7.41"/>
    <x v="58"/>
    <x v="4"/>
    <x v="1"/>
    <d v="2022-07-31T00:00:00"/>
    <x v="43"/>
    <x v="1"/>
    <n v="1"/>
  </r>
  <r>
    <s v="L0060"/>
    <s v="Ravi"/>
    <n v="21"/>
    <x v="2"/>
    <x v="1"/>
    <x v="59"/>
    <x v="1"/>
    <x v="57"/>
    <x v="0"/>
    <n v="1714641"/>
    <n v="15"/>
    <n v="13.59"/>
    <x v="59"/>
    <x v="4"/>
    <x v="2"/>
    <d v="2022-05-17T00:00:00"/>
    <x v="44"/>
    <x v="0"/>
    <n v="0"/>
  </r>
  <r>
    <s v="L0061"/>
    <s v="Priya"/>
    <n v="52"/>
    <x v="1"/>
    <x v="0"/>
    <x v="60"/>
    <x v="1"/>
    <x v="58"/>
    <x v="2"/>
    <n v="1168286"/>
    <n v="5"/>
    <n v="13.54"/>
    <x v="60"/>
    <x v="3"/>
    <x v="1"/>
    <d v="2022-02-19T00:00:00"/>
    <x v="45"/>
    <x v="0"/>
    <n v="0"/>
  </r>
  <r>
    <s v="L0062"/>
    <s v="Neha"/>
    <n v="54"/>
    <x v="1"/>
    <x v="0"/>
    <x v="61"/>
    <x v="0"/>
    <x v="59"/>
    <x v="0"/>
    <n v="1408495"/>
    <n v="5"/>
    <n v="14.56"/>
    <x v="61"/>
    <x v="2"/>
    <x v="1"/>
    <d v="2023-10-11T00:00:00"/>
    <x v="10"/>
    <x v="2"/>
    <n v="0"/>
  </r>
  <r>
    <s v="L0063"/>
    <s v="Rahul"/>
    <n v="28"/>
    <x v="2"/>
    <x v="0"/>
    <x v="62"/>
    <x v="0"/>
    <x v="60"/>
    <x v="0"/>
    <n v="841633"/>
    <n v="10"/>
    <n v="12.12"/>
    <x v="62"/>
    <x v="1"/>
    <x v="3"/>
    <d v="2022-08-15T00:00:00"/>
    <x v="46"/>
    <x v="0"/>
    <n v="0"/>
  </r>
  <r>
    <s v="L0064"/>
    <s v="Ravi"/>
    <n v="59"/>
    <x v="1"/>
    <x v="1"/>
    <x v="63"/>
    <x v="0"/>
    <x v="61"/>
    <x v="0"/>
    <n v="243813"/>
    <n v="10"/>
    <n v="8.9600000000000009"/>
    <x v="63"/>
    <x v="3"/>
    <x v="0"/>
    <d v="2022-09-25T00:00:00"/>
    <x v="47"/>
    <x v="0"/>
    <n v="0"/>
  </r>
  <r>
    <s v="L0065"/>
    <s v="Sneha"/>
    <n v="65"/>
    <x v="1"/>
    <x v="0"/>
    <x v="64"/>
    <x v="0"/>
    <x v="62"/>
    <x v="0"/>
    <n v="1815053"/>
    <n v="20"/>
    <n v="9.3000000000000007"/>
    <x v="64"/>
    <x v="2"/>
    <x v="1"/>
    <d v="2023-03-27T00:00:00"/>
    <x v="48"/>
    <x v="1"/>
    <n v="1"/>
  </r>
  <r>
    <s v="L0066"/>
    <s v="Kiran"/>
    <n v="56"/>
    <x v="1"/>
    <x v="0"/>
    <x v="65"/>
    <x v="0"/>
    <x v="63"/>
    <x v="2"/>
    <n v="1574719"/>
    <n v="5"/>
    <n v="14.7"/>
    <x v="65"/>
    <x v="0"/>
    <x v="2"/>
    <d v="2023-12-17T00:00:00"/>
    <x v="10"/>
    <x v="2"/>
    <n v="0"/>
  </r>
  <r>
    <s v="L0067"/>
    <s v="Amit"/>
    <n v="58"/>
    <x v="1"/>
    <x v="1"/>
    <x v="66"/>
    <x v="1"/>
    <x v="64"/>
    <x v="0"/>
    <n v="1623754"/>
    <n v="15"/>
    <n v="9.1300000000000008"/>
    <x v="66"/>
    <x v="3"/>
    <x v="0"/>
    <d v="2024-03-28T00:00:00"/>
    <x v="49"/>
    <x v="1"/>
    <n v="1"/>
  </r>
  <r>
    <s v="L0068"/>
    <s v="Pooja"/>
    <n v="55"/>
    <x v="1"/>
    <x v="0"/>
    <x v="67"/>
    <x v="0"/>
    <x v="65"/>
    <x v="0"/>
    <n v="159094"/>
    <n v="10"/>
    <n v="13.52"/>
    <x v="67"/>
    <x v="3"/>
    <x v="3"/>
    <d v="2022-04-05T00:00:00"/>
    <x v="50"/>
    <x v="0"/>
    <n v="0"/>
  </r>
  <r>
    <s v="L0069"/>
    <s v="Suresh"/>
    <n v="56"/>
    <x v="1"/>
    <x v="1"/>
    <x v="68"/>
    <x v="1"/>
    <x v="66"/>
    <x v="0"/>
    <n v="1828809"/>
    <n v="15"/>
    <n v="7.19"/>
    <x v="68"/>
    <x v="0"/>
    <x v="0"/>
    <d v="2022-06-29T00:00:00"/>
    <x v="51"/>
    <x v="0"/>
    <n v="0"/>
  </r>
  <r>
    <s v="L0070"/>
    <s v="Kiran"/>
    <n v="53"/>
    <x v="1"/>
    <x v="1"/>
    <x v="69"/>
    <x v="1"/>
    <x v="67"/>
    <x v="0"/>
    <n v="886959"/>
    <n v="20"/>
    <n v="14.63"/>
    <x v="69"/>
    <x v="2"/>
    <x v="3"/>
    <d v="2023-06-05T00:00:00"/>
    <x v="52"/>
    <x v="1"/>
    <n v="1"/>
  </r>
  <r>
    <s v="L0071"/>
    <s v="Amit"/>
    <n v="64"/>
    <x v="1"/>
    <x v="1"/>
    <x v="70"/>
    <x v="2"/>
    <x v="68"/>
    <x v="0"/>
    <n v="1534986"/>
    <n v="15"/>
    <n v="9.68"/>
    <x v="70"/>
    <x v="4"/>
    <x v="2"/>
    <d v="2022-10-16T00:00:00"/>
    <x v="53"/>
    <x v="0"/>
    <n v="0"/>
  </r>
  <r>
    <s v="L0072"/>
    <s v="Amit"/>
    <n v="45"/>
    <x v="0"/>
    <x v="1"/>
    <x v="71"/>
    <x v="1"/>
    <x v="69"/>
    <x v="0"/>
    <n v="1550956"/>
    <n v="10"/>
    <n v="12.73"/>
    <x v="71"/>
    <x v="1"/>
    <x v="0"/>
    <d v="2023-05-23T00:00:00"/>
    <x v="54"/>
    <x v="0"/>
    <n v="0"/>
  </r>
  <r>
    <s v="L0073"/>
    <s v="Neha"/>
    <n v="21"/>
    <x v="2"/>
    <x v="0"/>
    <x v="72"/>
    <x v="2"/>
    <x v="70"/>
    <x v="1"/>
    <n v="1953698"/>
    <n v="10"/>
    <n v="11.67"/>
    <x v="72"/>
    <x v="0"/>
    <x v="3"/>
    <d v="2024-01-09T00:00:00"/>
    <x v="55"/>
    <x v="1"/>
    <n v="1"/>
  </r>
  <r>
    <s v="L0074"/>
    <s v="Priya"/>
    <n v="56"/>
    <x v="1"/>
    <x v="0"/>
    <x v="73"/>
    <x v="2"/>
    <x v="71"/>
    <x v="2"/>
    <n v="675189"/>
    <n v="15"/>
    <n v="8.35"/>
    <x v="73"/>
    <x v="0"/>
    <x v="0"/>
    <d v="2022-07-13T00:00:00"/>
    <x v="56"/>
    <x v="0"/>
    <n v="0"/>
  </r>
  <r>
    <s v="L0075"/>
    <s v="Amit"/>
    <n v="28"/>
    <x v="2"/>
    <x v="1"/>
    <x v="74"/>
    <x v="1"/>
    <x v="72"/>
    <x v="0"/>
    <n v="909011"/>
    <n v="15"/>
    <n v="13.76"/>
    <x v="74"/>
    <x v="1"/>
    <x v="2"/>
    <d v="2022-03-11T00:00:00"/>
    <x v="57"/>
    <x v="0"/>
    <n v="0"/>
  </r>
  <r>
    <s v="L0076"/>
    <s v="Ravi"/>
    <n v="21"/>
    <x v="2"/>
    <x v="0"/>
    <x v="75"/>
    <x v="0"/>
    <x v="73"/>
    <x v="0"/>
    <n v="1376891"/>
    <n v="5"/>
    <n v="7.13"/>
    <x v="75"/>
    <x v="4"/>
    <x v="0"/>
    <d v="2022-12-28T00:00:00"/>
    <x v="58"/>
    <x v="0"/>
    <n v="0"/>
  </r>
  <r>
    <s v="L0077"/>
    <s v="Ravi"/>
    <n v="44"/>
    <x v="0"/>
    <x v="1"/>
    <x v="76"/>
    <x v="1"/>
    <x v="74"/>
    <x v="2"/>
    <n v="1318996"/>
    <n v="10"/>
    <n v="10.75"/>
    <x v="76"/>
    <x v="3"/>
    <x v="0"/>
    <d v="2024-06-01T00:00:00"/>
    <x v="59"/>
    <x v="0"/>
    <n v="0"/>
  </r>
  <r>
    <s v="L0078"/>
    <s v="Rahul"/>
    <n v="32"/>
    <x v="0"/>
    <x v="1"/>
    <x v="77"/>
    <x v="2"/>
    <x v="75"/>
    <x v="2"/>
    <n v="262705"/>
    <n v="15"/>
    <n v="7.7"/>
    <x v="77"/>
    <x v="3"/>
    <x v="2"/>
    <d v="2023-03-24T00:00:00"/>
    <x v="10"/>
    <x v="2"/>
    <n v="0"/>
  </r>
  <r>
    <s v="L0079"/>
    <s v="Kiran"/>
    <n v="52"/>
    <x v="1"/>
    <x v="0"/>
    <x v="78"/>
    <x v="2"/>
    <x v="76"/>
    <x v="0"/>
    <n v="618687"/>
    <n v="15"/>
    <n v="14.44"/>
    <x v="78"/>
    <x v="1"/>
    <x v="1"/>
    <d v="2023-12-05T00:00:00"/>
    <x v="60"/>
    <x v="1"/>
    <n v="1"/>
  </r>
  <r>
    <s v="L0080"/>
    <s v="Suresh"/>
    <n v="53"/>
    <x v="1"/>
    <x v="0"/>
    <x v="79"/>
    <x v="1"/>
    <x v="77"/>
    <x v="0"/>
    <n v="294518"/>
    <n v="10"/>
    <n v="8.26"/>
    <x v="79"/>
    <x v="0"/>
    <x v="1"/>
    <d v="2024-04-03T00:00:00"/>
    <x v="61"/>
    <x v="0"/>
    <n v="0"/>
  </r>
  <r>
    <s v="L0081"/>
    <s v="Amit"/>
    <n v="57"/>
    <x v="1"/>
    <x v="0"/>
    <x v="80"/>
    <x v="2"/>
    <x v="78"/>
    <x v="2"/>
    <n v="794885"/>
    <n v="15"/>
    <n v="11.04"/>
    <x v="80"/>
    <x v="4"/>
    <x v="0"/>
    <d v="2022-12-26T00:00:00"/>
    <x v="62"/>
    <x v="0"/>
    <n v="0"/>
  </r>
  <r>
    <s v="L0082"/>
    <s v="Kiran"/>
    <n v="64"/>
    <x v="1"/>
    <x v="1"/>
    <x v="81"/>
    <x v="2"/>
    <x v="36"/>
    <x v="2"/>
    <n v="1338214"/>
    <n v="20"/>
    <n v="14.17"/>
    <x v="81"/>
    <x v="3"/>
    <x v="3"/>
    <d v="2022-05-15T00:00:00"/>
    <x v="63"/>
    <x v="0"/>
    <n v="0"/>
  </r>
  <r>
    <s v="L0083"/>
    <s v="Rahul"/>
    <n v="51"/>
    <x v="1"/>
    <x v="0"/>
    <x v="82"/>
    <x v="0"/>
    <x v="79"/>
    <x v="1"/>
    <n v="687846"/>
    <n v="5"/>
    <n v="8.0399999999999991"/>
    <x v="82"/>
    <x v="2"/>
    <x v="0"/>
    <d v="2023-07-13T00:00:00"/>
    <x v="10"/>
    <x v="2"/>
    <n v="0"/>
  </r>
  <r>
    <s v="L0084"/>
    <s v="Pooja"/>
    <n v="54"/>
    <x v="1"/>
    <x v="0"/>
    <x v="83"/>
    <x v="0"/>
    <x v="19"/>
    <x v="1"/>
    <n v="1735665"/>
    <n v="5"/>
    <n v="11.96"/>
    <x v="83"/>
    <x v="0"/>
    <x v="0"/>
    <d v="2023-12-30T00:00:00"/>
    <x v="64"/>
    <x v="1"/>
    <n v="1"/>
  </r>
  <r>
    <s v="L0085"/>
    <s v="Pooja"/>
    <n v="35"/>
    <x v="0"/>
    <x v="1"/>
    <x v="84"/>
    <x v="1"/>
    <x v="80"/>
    <x v="1"/>
    <n v="1171806"/>
    <n v="10"/>
    <n v="8.74"/>
    <x v="84"/>
    <x v="0"/>
    <x v="2"/>
    <d v="2024-05-08T00:00:00"/>
    <x v="65"/>
    <x v="0"/>
    <n v="0"/>
  </r>
  <r>
    <s v="L0086"/>
    <s v="Sneha"/>
    <n v="51"/>
    <x v="1"/>
    <x v="0"/>
    <x v="85"/>
    <x v="2"/>
    <x v="81"/>
    <x v="1"/>
    <n v="277595"/>
    <n v="15"/>
    <n v="13.41"/>
    <x v="85"/>
    <x v="1"/>
    <x v="3"/>
    <d v="2022-05-03T00:00:00"/>
    <x v="30"/>
    <x v="0"/>
    <n v="0"/>
  </r>
  <r>
    <s v="L0087"/>
    <s v="Amit"/>
    <n v="57"/>
    <x v="1"/>
    <x v="0"/>
    <x v="86"/>
    <x v="2"/>
    <x v="82"/>
    <x v="0"/>
    <n v="670031"/>
    <n v="10"/>
    <n v="12.68"/>
    <x v="86"/>
    <x v="1"/>
    <x v="0"/>
    <d v="2022-09-16T00:00:00"/>
    <x v="66"/>
    <x v="0"/>
    <n v="0"/>
  </r>
  <r>
    <s v="L0088"/>
    <s v="Amit"/>
    <n v="27"/>
    <x v="2"/>
    <x v="0"/>
    <x v="87"/>
    <x v="2"/>
    <x v="83"/>
    <x v="0"/>
    <n v="1620270"/>
    <n v="15"/>
    <n v="10.91"/>
    <x v="87"/>
    <x v="0"/>
    <x v="2"/>
    <d v="2022-06-04T00:00:00"/>
    <x v="67"/>
    <x v="0"/>
    <n v="0"/>
  </r>
  <r>
    <s v="L0089"/>
    <s v="Ravi"/>
    <n v="27"/>
    <x v="2"/>
    <x v="0"/>
    <x v="88"/>
    <x v="2"/>
    <x v="1"/>
    <x v="1"/>
    <n v="1870361"/>
    <n v="5"/>
    <n v="14.55"/>
    <x v="88"/>
    <x v="1"/>
    <x v="1"/>
    <d v="2022-10-20T00:00:00"/>
    <x v="10"/>
    <x v="2"/>
    <n v="0"/>
  </r>
  <r>
    <s v="L0090"/>
    <s v="Neha"/>
    <n v="34"/>
    <x v="0"/>
    <x v="1"/>
    <x v="89"/>
    <x v="2"/>
    <x v="84"/>
    <x v="0"/>
    <n v="420636"/>
    <n v="15"/>
    <n v="13.97"/>
    <x v="89"/>
    <x v="1"/>
    <x v="3"/>
    <d v="2023-11-05T00:00:00"/>
    <x v="10"/>
    <x v="2"/>
    <n v="0"/>
  </r>
  <r>
    <s v="L0091"/>
    <s v="Neha"/>
    <n v="34"/>
    <x v="0"/>
    <x v="1"/>
    <x v="90"/>
    <x v="2"/>
    <x v="85"/>
    <x v="1"/>
    <n v="710734"/>
    <n v="5"/>
    <n v="14.8"/>
    <x v="90"/>
    <x v="3"/>
    <x v="1"/>
    <d v="2023-06-25T00:00:00"/>
    <x v="10"/>
    <x v="2"/>
    <n v="0"/>
  </r>
  <r>
    <s v="L0092"/>
    <s v="Suresh"/>
    <n v="42"/>
    <x v="0"/>
    <x v="1"/>
    <x v="91"/>
    <x v="0"/>
    <x v="86"/>
    <x v="0"/>
    <n v="1190240"/>
    <n v="20"/>
    <n v="12"/>
    <x v="91"/>
    <x v="0"/>
    <x v="1"/>
    <d v="2022-09-26T00:00:00"/>
    <x v="68"/>
    <x v="1"/>
    <n v="1"/>
  </r>
  <r>
    <s v="L0093"/>
    <s v="Kiran"/>
    <n v="21"/>
    <x v="2"/>
    <x v="0"/>
    <x v="92"/>
    <x v="1"/>
    <x v="87"/>
    <x v="0"/>
    <n v="772658"/>
    <n v="5"/>
    <n v="9.18"/>
    <x v="92"/>
    <x v="2"/>
    <x v="2"/>
    <d v="2022-11-19T00:00:00"/>
    <x v="69"/>
    <x v="0"/>
    <n v="0"/>
  </r>
  <r>
    <s v="L0094"/>
    <s v="Amit"/>
    <n v="33"/>
    <x v="0"/>
    <x v="0"/>
    <x v="93"/>
    <x v="0"/>
    <x v="88"/>
    <x v="0"/>
    <n v="1235975"/>
    <n v="20"/>
    <n v="7.93"/>
    <x v="93"/>
    <x v="3"/>
    <x v="0"/>
    <d v="2022-07-14T00:00:00"/>
    <x v="70"/>
    <x v="0"/>
    <n v="0"/>
  </r>
  <r>
    <s v="L0095"/>
    <s v="Amit"/>
    <n v="35"/>
    <x v="0"/>
    <x v="0"/>
    <x v="94"/>
    <x v="2"/>
    <x v="10"/>
    <x v="0"/>
    <n v="1567934"/>
    <n v="10"/>
    <n v="9.3000000000000007"/>
    <x v="94"/>
    <x v="4"/>
    <x v="0"/>
    <d v="2023-10-23T00:00:00"/>
    <x v="10"/>
    <x v="2"/>
    <n v="0"/>
  </r>
  <r>
    <s v="L0096"/>
    <s v="Sneha"/>
    <n v="26"/>
    <x v="2"/>
    <x v="1"/>
    <x v="95"/>
    <x v="0"/>
    <x v="89"/>
    <x v="1"/>
    <n v="1973368"/>
    <n v="5"/>
    <n v="14.23"/>
    <x v="95"/>
    <x v="1"/>
    <x v="1"/>
    <d v="2022-07-09T00:00:00"/>
    <x v="10"/>
    <x v="2"/>
    <n v="0"/>
  </r>
  <r>
    <s v="L0097"/>
    <s v="Amit"/>
    <n v="50"/>
    <x v="1"/>
    <x v="1"/>
    <x v="96"/>
    <x v="2"/>
    <x v="90"/>
    <x v="1"/>
    <n v="1137396"/>
    <n v="5"/>
    <n v="9.2100000000000009"/>
    <x v="96"/>
    <x v="1"/>
    <x v="2"/>
    <d v="2022-06-18T00:00:00"/>
    <x v="71"/>
    <x v="1"/>
    <n v="1"/>
  </r>
  <r>
    <s v="L0098"/>
    <s v="Suresh"/>
    <n v="54"/>
    <x v="1"/>
    <x v="1"/>
    <x v="97"/>
    <x v="0"/>
    <x v="91"/>
    <x v="2"/>
    <n v="1883650"/>
    <n v="10"/>
    <n v="7.64"/>
    <x v="97"/>
    <x v="0"/>
    <x v="2"/>
    <d v="2022-12-15T00:00:00"/>
    <x v="72"/>
    <x v="0"/>
    <n v="0"/>
  </r>
  <r>
    <s v="L0099"/>
    <s v="Ravi"/>
    <n v="34"/>
    <x v="0"/>
    <x v="0"/>
    <x v="98"/>
    <x v="2"/>
    <x v="92"/>
    <x v="1"/>
    <n v="1071719"/>
    <n v="20"/>
    <n v="12.89"/>
    <x v="98"/>
    <x v="3"/>
    <x v="0"/>
    <d v="2023-09-07T00:00:00"/>
    <x v="73"/>
    <x v="0"/>
    <n v="0"/>
  </r>
  <r>
    <s v="L0100"/>
    <s v="Ankit"/>
    <n v="55"/>
    <x v="1"/>
    <x v="0"/>
    <x v="99"/>
    <x v="1"/>
    <x v="93"/>
    <x v="2"/>
    <n v="490717"/>
    <n v="10"/>
    <n v="9.5"/>
    <x v="99"/>
    <x v="1"/>
    <x v="3"/>
    <d v="2023-02-04T00:00:00"/>
    <x v="74"/>
    <x v="1"/>
    <n v="1"/>
  </r>
  <r>
    <s v="L0101"/>
    <s v="Amit"/>
    <n v="47"/>
    <x v="1"/>
    <x v="1"/>
    <x v="100"/>
    <x v="0"/>
    <x v="94"/>
    <x v="1"/>
    <n v="1408381"/>
    <n v="20"/>
    <n v="10.17"/>
    <x v="100"/>
    <x v="2"/>
    <x v="1"/>
    <d v="2023-03-06T00:00:00"/>
    <x v="75"/>
    <x v="0"/>
    <n v="0"/>
  </r>
  <r>
    <s v="L0102"/>
    <s v="Suresh"/>
    <n v="65"/>
    <x v="1"/>
    <x v="1"/>
    <x v="101"/>
    <x v="2"/>
    <x v="95"/>
    <x v="0"/>
    <n v="1754311"/>
    <n v="10"/>
    <n v="11.89"/>
    <x v="101"/>
    <x v="2"/>
    <x v="1"/>
    <d v="2023-07-16T00:00:00"/>
    <x v="76"/>
    <x v="0"/>
    <n v="0"/>
  </r>
  <r>
    <s v="L0103"/>
    <s v="Ravi"/>
    <n v="58"/>
    <x v="1"/>
    <x v="1"/>
    <x v="102"/>
    <x v="0"/>
    <x v="96"/>
    <x v="2"/>
    <n v="1563279"/>
    <n v="20"/>
    <n v="12.37"/>
    <x v="102"/>
    <x v="2"/>
    <x v="0"/>
    <d v="2023-04-02T00:00:00"/>
    <x v="77"/>
    <x v="0"/>
    <n v="0"/>
  </r>
  <r>
    <s v="L0104"/>
    <s v="Kiran"/>
    <n v="59"/>
    <x v="1"/>
    <x v="1"/>
    <x v="103"/>
    <x v="1"/>
    <x v="97"/>
    <x v="0"/>
    <n v="1706959"/>
    <n v="5"/>
    <n v="13.52"/>
    <x v="103"/>
    <x v="4"/>
    <x v="2"/>
    <d v="2023-07-27T00:00:00"/>
    <x v="3"/>
    <x v="0"/>
    <n v="0"/>
  </r>
  <r>
    <s v="L0105"/>
    <s v="Neha"/>
    <n v="27"/>
    <x v="2"/>
    <x v="0"/>
    <x v="104"/>
    <x v="1"/>
    <x v="98"/>
    <x v="0"/>
    <n v="1760165"/>
    <n v="10"/>
    <n v="8.64"/>
    <x v="104"/>
    <x v="1"/>
    <x v="3"/>
    <d v="2022-04-14T00:00:00"/>
    <x v="50"/>
    <x v="0"/>
    <n v="0"/>
  </r>
  <r>
    <s v="L0106"/>
    <s v="Ankit"/>
    <n v="47"/>
    <x v="1"/>
    <x v="1"/>
    <x v="105"/>
    <x v="0"/>
    <x v="99"/>
    <x v="0"/>
    <n v="1725958"/>
    <n v="10"/>
    <n v="10.8"/>
    <x v="105"/>
    <x v="3"/>
    <x v="0"/>
    <d v="2023-09-17T00:00:00"/>
    <x v="41"/>
    <x v="1"/>
    <n v="1"/>
  </r>
  <r>
    <s v="L0107"/>
    <s v="Kiran"/>
    <n v="43"/>
    <x v="0"/>
    <x v="1"/>
    <x v="106"/>
    <x v="1"/>
    <x v="100"/>
    <x v="2"/>
    <n v="822524"/>
    <n v="15"/>
    <n v="11.38"/>
    <x v="106"/>
    <x v="3"/>
    <x v="3"/>
    <d v="2022-11-07T00:00:00"/>
    <x v="78"/>
    <x v="0"/>
    <n v="0"/>
  </r>
  <r>
    <s v="L0108"/>
    <s v="Neha"/>
    <n v="27"/>
    <x v="2"/>
    <x v="1"/>
    <x v="107"/>
    <x v="2"/>
    <x v="101"/>
    <x v="0"/>
    <n v="1448464"/>
    <n v="15"/>
    <n v="7.75"/>
    <x v="107"/>
    <x v="3"/>
    <x v="2"/>
    <d v="2022-05-04T00:00:00"/>
    <x v="79"/>
    <x v="0"/>
    <n v="0"/>
  </r>
  <r>
    <s v="L0109"/>
    <s v="Priya"/>
    <n v="27"/>
    <x v="2"/>
    <x v="0"/>
    <x v="108"/>
    <x v="0"/>
    <x v="102"/>
    <x v="0"/>
    <n v="1417228"/>
    <n v="20"/>
    <n v="10.37"/>
    <x v="108"/>
    <x v="1"/>
    <x v="0"/>
    <d v="2023-03-08T00:00:00"/>
    <x v="10"/>
    <x v="2"/>
    <n v="0"/>
  </r>
  <r>
    <s v="L0110"/>
    <s v="Priya"/>
    <n v="44"/>
    <x v="0"/>
    <x v="1"/>
    <x v="109"/>
    <x v="0"/>
    <x v="103"/>
    <x v="2"/>
    <n v="1283867"/>
    <n v="5"/>
    <n v="13.94"/>
    <x v="109"/>
    <x v="3"/>
    <x v="1"/>
    <d v="2022-04-29T00:00:00"/>
    <x v="80"/>
    <x v="0"/>
    <n v="0"/>
  </r>
  <r>
    <s v="L0111"/>
    <s v="Kiran"/>
    <n v="63"/>
    <x v="1"/>
    <x v="1"/>
    <x v="110"/>
    <x v="2"/>
    <x v="59"/>
    <x v="0"/>
    <n v="510587"/>
    <n v="5"/>
    <n v="11.69"/>
    <x v="110"/>
    <x v="3"/>
    <x v="2"/>
    <d v="2024-03-21T00:00:00"/>
    <x v="81"/>
    <x v="0"/>
    <n v="0"/>
  </r>
  <r>
    <s v="L0112"/>
    <s v="Amit"/>
    <n v="44"/>
    <x v="0"/>
    <x v="1"/>
    <x v="111"/>
    <x v="2"/>
    <x v="10"/>
    <x v="0"/>
    <n v="1065164"/>
    <n v="20"/>
    <n v="9.18"/>
    <x v="111"/>
    <x v="3"/>
    <x v="2"/>
    <d v="2023-08-10T00:00:00"/>
    <x v="82"/>
    <x v="0"/>
    <n v="0"/>
  </r>
  <r>
    <s v="L0113"/>
    <s v="Ravi"/>
    <n v="42"/>
    <x v="0"/>
    <x v="1"/>
    <x v="112"/>
    <x v="2"/>
    <x v="104"/>
    <x v="0"/>
    <n v="1257866"/>
    <n v="20"/>
    <n v="8.6300000000000008"/>
    <x v="112"/>
    <x v="4"/>
    <x v="3"/>
    <d v="2022-04-23T00:00:00"/>
    <x v="10"/>
    <x v="2"/>
    <n v="0"/>
  </r>
  <r>
    <s v="L0114"/>
    <s v="Pooja"/>
    <n v="44"/>
    <x v="0"/>
    <x v="1"/>
    <x v="113"/>
    <x v="0"/>
    <x v="105"/>
    <x v="1"/>
    <n v="1465209"/>
    <n v="5"/>
    <n v="8.43"/>
    <x v="113"/>
    <x v="3"/>
    <x v="0"/>
    <d v="2022-08-23T00:00:00"/>
    <x v="83"/>
    <x v="0"/>
    <n v="0"/>
  </r>
  <r>
    <s v="L0115"/>
    <s v="Priya"/>
    <n v="24"/>
    <x v="2"/>
    <x v="0"/>
    <x v="114"/>
    <x v="0"/>
    <x v="106"/>
    <x v="2"/>
    <n v="1827500"/>
    <n v="20"/>
    <n v="10.37"/>
    <x v="114"/>
    <x v="3"/>
    <x v="0"/>
    <d v="2023-10-19T00:00:00"/>
    <x v="84"/>
    <x v="0"/>
    <n v="0"/>
  </r>
  <r>
    <s v="L0116"/>
    <s v="Neha"/>
    <n v="40"/>
    <x v="0"/>
    <x v="0"/>
    <x v="115"/>
    <x v="0"/>
    <x v="82"/>
    <x v="0"/>
    <n v="914947"/>
    <n v="15"/>
    <n v="14.79"/>
    <x v="115"/>
    <x v="1"/>
    <x v="2"/>
    <d v="2023-05-31T00:00:00"/>
    <x v="10"/>
    <x v="2"/>
    <n v="0"/>
  </r>
  <r>
    <s v="L0117"/>
    <s v="Rahul"/>
    <n v="27"/>
    <x v="2"/>
    <x v="1"/>
    <x v="116"/>
    <x v="2"/>
    <x v="107"/>
    <x v="0"/>
    <n v="659409"/>
    <n v="10"/>
    <n v="10.95"/>
    <x v="116"/>
    <x v="3"/>
    <x v="1"/>
    <d v="2022-09-20T00:00:00"/>
    <x v="10"/>
    <x v="2"/>
    <n v="0"/>
  </r>
  <r>
    <s v="L0118"/>
    <s v="Ankit"/>
    <n v="37"/>
    <x v="0"/>
    <x v="0"/>
    <x v="117"/>
    <x v="1"/>
    <x v="108"/>
    <x v="2"/>
    <n v="812247"/>
    <n v="15"/>
    <n v="11.32"/>
    <x v="117"/>
    <x v="0"/>
    <x v="1"/>
    <d v="2022-10-26T00:00:00"/>
    <x v="85"/>
    <x v="1"/>
    <n v="1"/>
  </r>
  <r>
    <s v="L0119"/>
    <s v="Neha"/>
    <n v="48"/>
    <x v="1"/>
    <x v="1"/>
    <x v="118"/>
    <x v="0"/>
    <x v="109"/>
    <x v="0"/>
    <n v="522068"/>
    <n v="5"/>
    <n v="7.42"/>
    <x v="118"/>
    <x v="1"/>
    <x v="1"/>
    <d v="2024-03-24T00:00:00"/>
    <x v="86"/>
    <x v="0"/>
    <n v="0"/>
  </r>
  <r>
    <s v="L0120"/>
    <s v="Neha"/>
    <n v="43"/>
    <x v="0"/>
    <x v="0"/>
    <x v="119"/>
    <x v="2"/>
    <x v="110"/>
    <x v="0"/>
    <n v="995564"/>
    <n v="5"/>
    <n v="7.62"/>
    <x v="119"/>
    <x v="4"/>
    <x v="3"/>
    <d v="2024-04-09T00:00:00"/>
    <x v="87"/>
    <x v="0"/>
    <n v="0"/>
  </r>
  <r>
    <s v="L0121"/>
    <s v="Sneha"/>
    <n v="28"/>
    <x v="2"/>
    <x v="1"/>
    <x v="120"/>
    <x v="1"/>
    <x v="111"/>
    <x v="1"/>
    <n v="183989"/>
    <n v="20"/>
    <n v="7.23"/>
    <x v="120"/>
    <x v="1"/>
    <x v="3"/>
    <d v="2022-03-10T00:00:00"/>
    <x v="57"/>
    <x v="0"/>
    <n v="0"/>
  </r>
  <r>
    <s v="L0122"/>
    <s v="Ankit"/>
    <n v="39"/>
    <x v="0"/>
    <x v="1"/>
    <x v="121"/>
    <x v="2"/>
    <x v="67"/>
    <x v="0"/>
    <n v="463244"/>
    <n v="10"/>
    <n v="7.97"/>
    <x v="121"/>
    <x v="0"/>
    <x v="3"/>
    <d v="2022-07-07T00:00:00"/>
    <x v="88"/>
    <x v="1"/>
    <n v="1"/>
  </r>
  <r>
    <s v="L0123"/>
    <s v="Ravi"/>
    <n v="61"/>
    <x v="1"/>
    <x v="0"/>
    <x v="122"/>
    <x v="1"/>
    <x v="112"/>
    <x v="2"/>
    <n v="1893286"/>
    <n v="15"/>
    <n v="9.18"/>
    <x v="122"/>
    <x v="2"/>
    <x v="1"/>
    <d v="2023-07-03T00:00:00"/>
    <x v="89"/>
    <x v="1"/>
    <n v="1"/>
  </r>
  <r>
    <s v="L0124"/>
    <s v="Amit"/>
    <n v="24"/>
    <x v="2"/>
    <x v="1"/>
    <x v="123"/>
    <x v="1"/>
    <x v="113"/>
    <x v="0"/>
    <n v="878119"/>
    <n v="5"/>
    <n v="11.57"/>
    <x v="123"/>
    <x v="1"/>
    <x v="3"/>
    <d v="2023-12-01T00:00:00"/>
    <x v="90"/>
    <x v="0"/>
    <n v="0"/>
  </r>
  <r>
    <s v="L0125"/>
    <s v="Ravi"/>
    <n v="31"/>
    <x v="0"/>
    <x v="0"/>
    <x v="124"/>
    <x v="1"/>
    <x v="114"/>
    <x v="0"/>
    <n v="928292"/>
    <n v="15"/>
    <n v="11.26"/>
    <x v="124"/>
    <x v="1"/>
    <x v="1"/>
    <d v="2024-03-16T00:00:00"/>
    <x v="91"/>
    <x v="1"/>
    <n v="1"/>
  </r>
  <r>
    <s v="L0126"/>
    <s v="Suresh"/>
    <n v="53"/>
    <x v="1"/>
    <x v="0"/>
    <x v="125"/>
    <x v="2"/>
    <x v="115"/>
    <x v="0"/>
    <n v="1841407"/>
    <n v="10"/>
    <n v="7.2"/>
    <x v="125"/>
    <x v="1"/>
    <x v="3"/>
    <d v="2022-05-04T00:00:00"/>
    <x v="63"/>
    <x v="0"/>
    <n v="0"/>
  </r>
  <r>
    <s v="L0127"/>
    <s v="Suresh"/>
    <n v="51"/>
    <x v="1"/>
    <x v="0"/>
    <x v="126"/>
    <x v="1"/>
    <x v="116"/>
    <x v="2"/>
    <n v="649599"/>
    <n v="20"/>
    <n v="11.17"/>
    <x v="126"/>
    <x v="4"/>
    <x v="0"/>
    <d v="2023-10-02T00:00:00"/>
    <x v="10"/>
    <x v="2"/>
    <n v="0"/>
  </r>
  <r>
    <s v="L0128"/>
    <s v="Kiran"/>
    <n v="24"/>
    <x v="2"/>
    <x v="1"/>
    <x v="127"/>
    <x v="1"/>
    <x v="117"/>
    <x v="1"/>
    <n v="375254"/>
    <n v="10"/>
    <n v="7.56"/>
    <x v="127"/>
    <x v="4"/>
    <x v="2"/>
    <d v="2023-08-30T00:00:00"/>
    <x v="92"/>
    <x v="0"/>
    <n v="0"/>
  </r>
  <r>
    <s v="L0129"/>
    <s v="Neha"/>
    <n v="22"/>
    <x v="2"/>
    <x v="0"/>
    <x v="128"/>
    <x v="1"/>
    <x v="118"/>
    <x v="1"/>
    <n v="1682760"/>
    <n v="15"/>
    <n v="10.9"/>
    <x v="128"/>
    <x v="3"/>
    <x v="2"/>
    <d v="2023-08-30T00:00:00"/>
    <x v="82"/>
    <x v="0"/>
    <n v="0"/>
  </r>
  <r>
    <s v="L0130"/>
    <s v="Ravi"/>
    <n v="52"/>
    <x v="1"/>
    <x v="0"/>
    <x v="129"/>
    <x v="2"/>
    <x v="27"/>
    <x v="2"/>
    <n v="709150"/>
    <n v="10"/>
    <n v="12.22"/>
    <x v="129"/>
    <x v="3"/>
    <x v="0"/>
    <d v="2024-03-31T00:00:00"/>
    <x v="10"/>
    <x v="2"/>
    <n v="0"/>
  </r>
  <r>
    <s v="L0131"/>
    <s v="Pooja"/>
    <n v="61"/>
    <x v="1"/>
    <x v="1"/>
    <x v="130"/>
    <x v="1"/>
    <x v="114"/>
    <x v="0"/>
    <n v="1202526"/>
    <n v="5"/>
    <n v="7.91"/>
    <x v="130"/>
    <x v="1"/>
    <x v="3"/>
    <d v="2023-07-09T00:00:00"/>
    <x v="93"/>
    <x v="0"/>
    <n v="0"/>
  </r>
  <r>
    <s v="L0132"/>
    <s v="Pooja"/>
    <n v="44"/>
    <x v="0"/>
    <x v="0"/>
    <x v="131"/>
    <x v="2"/>
    <x v="119"/>
    <x v="2"/>
    <n v="887403"/>
    <n v="15"/>
    <n v="10.66"/>
    <x v="131"/>
    <x v="3"/>
    <x v="3"/>
    <d v="2023-09-09T00:00:00"/>
    <x v="94"/>
    <x v="0"/>
    <n v="0"/>
  </r>
  <r>
    <s v="L0133"/>
    <s v="Pooja"/>
    <n v="47"/>
    <x v="1"/>
    <x v="1"/>
    <x v="132"/>
    <x v="1"/>
    <x v="120"/>
    <x v="1"/>
    <n v="1484575"/>
    <n v="5"/>
    <n v="11.53"/>
    <x v="132"/>
    <x v="0"/>
    <x v="1"/>
    <d v="2022-11-21T00:00:00"/>
    <x v="95"/>
    <x v="0"/>
    <n v="0"/>
  </r>
  <r>
    <s v="L0134"/>
    <s v="Ravi"/>
    <n v="64"/>
    <x v="1"/>
    <x v="0"/>
    <x v="133"/>
    <x v="0"/>
    <x v="121"/>
    <x v="0"/>
    <n v="1207662"/>
    <n v="5"/>
    <n v="12.5"/>
    <x v="133"/>
    <x v="3"/>
    <x v="1"/>
    <d v="2023-10-26T00:00:00"/>
    <x v="96"/>
    <x v="0"/>
    <n v="0"/>
  </r>
  <r>
    <s v="L0135"/>
    <s v="Priya"/>
    <n v="58"/>
    <x v="1"/>
    <x v="0"/>
    <x v="134"/>
    <x v="2"/>
    <x v="54"/>
    <x v="0"/>
    <n v="1443900"/>
    <n v="20"/>
    <n v="11.69"/>
    <x v="134"/>
    <x v="0"/>
    <x v="3"/>
    <d v="2023-08-25T00:00:00"/>
    <x v="97"/>
    <x v="0"/>
    <n v="0"/>
  </r>
  <r>
    <s v="L0136"/>
    <s v="Suresh"/>
    <n v="47"/>
    <x v="1"/>
    <x v="0"/>
    <x v="135"/>
    <x v="1"/>
    <x v="122"/>
    <x v="1"/>
    <n v="1907181"/>
    <n v="10"/>
    <n v="9"/>
    <x v="135"/>
    <x v="4"/>
    <x v="0"/>
    <d v="2022-05-10T00:00:00"/>
    <x v="98"/>
    <x v="0"/>
    <n v="0"/>
  </r>
  <r>
    <s v="L0137"/>
    <s v="Sneha"/>
    <n v="41"/>
    <x v="0"/>
    <x v="0"/>
    <x v="136"/>
    <x v="2"/>
    <x v="123"/>
    <x v="0"/>
    <n v="1581529"/>
    <n v="15"/>
    <n v="8.18"/>
    <x v="136"/>
    <x v="1"/>
    <x v="3"/>
    <d v="2023-04-07T00:00:00"/>
    <x v="99"/>
    <x v="0"/>
    <n v="0"/>
  </r>
  <r>
    <s v="L0138"/>
    <s v="Pooja"/>
    <n v="47"/>
    <x v="1"/>
    <x v="1"/>
    <x v="137"/>
    <x v="1"/>
    <x v="124"/>
    <x v="1"/>
    <n v="621574"/>
    <n v="5"/>
    <n v="14.41"/>
    <x v="137"/>
    <x v="3"/>
    <x v="3"/>
    <d v="2023-11-22T00:00:00"/>
    <x v="10"/>
    <x v="2"/>
    <n v="0"/>
  </r>
  <r>
    <s v="L0139"/>
    <s v="Neha"/>
    <n v="23"/>
    <x v="2"/>
    <x v="1"/>
    <x v="138"/>
    <x v="0"/>
    <x v="125"/>
    <x v="1"/>
    <n v="776383"/>
    <n v="5"/>
    <n v="9.8000000000000007"/>
    <x v="138"/>
    <x v="1"/>
    <x v="0"/>
    <d v="2024-03-22T00:00:00"/>
    <x v="100"/>
    <x v="1"/>
    <n v="1"/>
  </r>
  <r>
    <s v="L0140"/>
    <s v="Amit"/>
    <n v="55"/>
    <x v="1"/>
    <x v="1"/>
    <x v="139"/>
    <x v="1"/>
    <x v="126"/>
    <x v="0"/>
    <n v="1238963"/>
    <n v="15"/>
    <n v="11.61"/>
    <x v="139"/>
    <x v="2"/>
    <x v="3"/>
    <d v="2022-08-05T00:00:00"/>
    <x v="101"/>
    <x v="0"/>
    <n v="0"/>
  </r>
  <r>
    <s v="L0141"/>
    <s v="Ravi"/>
    <n v="29"/>
    <x v="2"/>
    <x v="1"/>
    <x v="140"/>
    <x v="1"/>
    <x v="127"/>
    <x v="0"/>
    <n v="413924"/>
    <n v="10"/>
    <n v="13.8"/>
    <x v="140"/>
    <x v="0"/>
    <x v="1"/>
    <d v="2023-02-15T00:00:00"/>
    <x v="10"/>
    <x v="2"/>
    <n v="0"/>
  </r>
  <r>
    <s v="L0142"/>
    <s v="Neha"/>
    <n v="31"/>
    <x v="0"/>
    <x v="1"/>
    <x v="141"/>
    <x v="0"/>
    <x v="128"/>
    <x v="0"/>
    <n v="302024"/>
    <n v="5"/>
    <n v="8.6999999999999993"/>
    <x v="141"/>
    <x v="0"/>
    <x v="0"/>
    <d v="2024-06-11T00:00:00"/>
    <x v="102"/>
    <x v="0"/>
    <n v="0"/>
  </r>
  <r>
    <s v="L0143"/>
    <s v="Priya"/>
    <n v="33"/>
    <x v="0"/>
    <x v="1"/>
    <x v="142"/>
    <x v="0"/>
    <x v="129"/>
    <x v="1"/>
    <n v="1041765"/>
    <n v="20"/>
    <n v="9.81"/>
    <x v="142"/>
    <x v="2"/>
    <x v="2"/>
    <d v="2022-11-15T00:00:00"/>
    <x v="103"/>
    <x v="0"/>
    <n v="0"/>
  </r>
  <r>
    <s v="L0144"/>
    <s v="Amit"/>
    <n v="64"/>
    <x v="1"/>
    <x v="1"/>
    <x v="143"/>
    <x v="2"/>
    <x v="130"/>
    <x v="0"/>
    <n v="1357642"/>
    <n v="20"/>
    <n v="13.97"/>
    <x v="143"/>
    <x v="0"/>
    <x v="1"/>
    <d v="2024-06-12T00:00:00"/>
    <x v="104"/>
    <x v="1"/>
    <n v="1"/>
  </r>
  <r>
    <s v="L0145"/>
    <s v="Suresh"/>
    <n v="38"/>
    <x v="0"/>
    <x v="1"/>
    <x v="144"/>
    <x v="0"/>
    <x v="131"/>
    <x v="0"/>
    <n v="1103726"/>
    <n v="5"/>
    <n v="9.93"/>
    <x v="144"/>
    <x v="2"/>
    <x v="3"/>
    <d v="2022-06-01T00:00:00"/>
    <x v="105"/>
    <x v="0"/>
    <n v="0"/>
  </r>
  <r>
    <s v="L0146"/>
    <s v="Priya"/>
    <n v="32"/>
    <x v="0"/>
    <x v="1"/>
    <x v="145"/>
    <x v="1"/>
    <x v="6"/>
    <x v="0"/>
    <n v="679173"/>
    <n v="20"/>
    <n v="9.36"/>
    <x v="145"/>
    <x v="0"/>
    <x v="1"/>
    <d v="2024-04-25T00:00:00"/>
    <x v="106"/>
    <x v="0"/>
    <n v="0"/>
  </r>
  <r>
    <s v="L0147"/>
    <s v="Pooja"/>
    <n v="35"/>
    <x v="0"/>
    <x v="0"/>
    <x v="146"/>
    <x v="1"/>
    <x v="112"/>
    <x v="2"/>
    <n v="904101"/>
    <n v="15"/>
    <n v="9.4499999999999993"/>
    <x v="146"/>
    <x v="1"/>
    <x v="0"/>
    <d v="2023-06-19T00:00:00"/>
    <x v="10"/>
    <x v="2"/>
    <n v="0"/>
  </r>
  <r>
    <s v="L0148"/>
    <s v="Ravi"/>
    <n v="24"/>
    <x v="2"/>
    <x v="1"/>
    <x v="147"/>
    <x v="0"/>
    <x v="86"/>
    <x v="0"/>
    <n v="307005"/>
    <n v="15"/>
    <n v="7.46"/>
    <x v="147"/>
    <x v="1"/>
    <x v="0"/>
    <d v="2023-12-22T00:00:00"/>
    <x v="90"/>
    <x v="0"/>
    <n v="0"/>
  </r>
  <r>
    <s v="L0149"/>
    <s v="Pooja"/>
    <n v="28"/>
    <x v="2"/>
    <x v="0"/>
    <x v="148"/>
    <x v="1"/>
    <x v="132"/>
    <x v="1"/>
    <n v="589837"/>
    <n v="15"/>
    <n v="13.03"/>
    <x v="148"/>
    <x v="4"/>
    <x v="3"/>
    <d v="2024-04-18T00:00:00"/>
    <x v="107"/>
    <x v="0"/>
    <n v="0"/>
  </r>
  <r>
    <s v="L0150"/>
    <s v="Kiran"/>
    <n v="58"/>
    <x v="1"/>
    <x v="0"/>
    <x v="149"/>
    <x v="0"/>
    <x v="133"/>
    <x v="0"/>
    <n v="339036"/>
    <n v="20"/>
    <n v="12.09"/>
    <x v="149"/>
    <x v="4"/>
    <x v="3"/>
    <d v="2023-08-21T00:00:00"/>
    <x v="94"/>
    <x v="1"/>
    <n v="1"/>
  </r>
  <r>
    <s v="L0151"/>
    <s v="Kiran"/>
    <n v="52"/>
    <x v="1"/>
    <x v="0"/>
    <x v="150"/>
    <x v="0"/>
    <x v="44"/>
    <x v="1"/>
    <n v="1297263"/>
    <n v="20"/>
    <n v="11.7"/>
    <x v="150"/>
    <x v="0"/>
    <x v="0"/>
    <d v="2022-09-03T00:00:00"/>
    <x v="108"/>
    <x v="0"/>
    <n v="0"/>
  </r>
  <r>
    <s v="L0152"/>
    <s v="Suresh"/>
    <n v="27"/>
    <x v="2"/>
    <x v="0"/>
    <x v="151"/>
    <x v="1"/>
    <x v="134"/>
    <x v="0"/>
    <n v="1832678"/>
    <n v="10"/>
    <n v="13.16"/>
    <x v="151"/>
    <x v="1"/>
    <x v="2"/>
    <d v="2023-07-25T00:00:00"/>
    <x v="109"/>
    <x v="0"/>
    <n v="0"/>
  </r>
  <r>
    <s v="L0153"/>
    <s v="Kiran"/>
    <n v="53"/>
    <x v="1"/>
    <x v="1"/>
    <x v="152"/>
    <x v="2"/>
    <x v="135"/>
    <x v="2"/>
    <n v="617816"/>
    <n v="10"/>
    <n v="13.81"/>
    <x v="152"/>
    <x v="4"/>
    <x v="2"/>
    <d v="2023-03-01T00:00:00"/>
    <x v="10"/>
    <x v="2"/>
    <n v="0"/>
  </r>
  <r>
    <s v="L0154"/>
    <s v="Rahul"/>
    <n v="63"/>
    <x v="1"/>
    <x v="1"/>
    <x v="153"/>
    <x v="0"/>
    <x v="136"/>
    <x v="1"/>
    <n v="716861"/>
    <n v="20"/>
    <n v="7.53"/>
    <x v="153"/>
    <x v="3"/>
    <x v="3"/>
    <d v="2022-01-15T00:00:00"/>
    <x v="110"/>
    <x v="0"/>
    <n v="0"/>
  </r>
  <r>
    <s v="L0155"/>
    <s v="Suresh"/>
    <n v="51"/>
    <x v="1"/>
    <x v="0"/>
    <x v="154"/>
    <x v="0"/>
    <x v="137"/>
    <x v="1"/>
    <n v="1886482"/>
    <n v="20"/>
    <n v="13.83"/>
    <x v="154"/>
    <x v="1"/>
    <x v="2"/>
    <d v="2023-03-13T00:00:00"/>
    <x v="111"/>
    <x v="1"/>
    <n v="1"/>
  </r>
  <r>
    <s v="L0156"/>
    <s v="Suresh"/>
    <n v="53"/>
    <x v="1"/>
    <x v="0"/>
    <x v="155"/>
    <x v="2"/>
    <x v="138"/>
    <x v="1"/>
    <n v="939342"/>
    <n v="10"/>
    <n v="12.14"/>
    <x v="155"/>
    <x v="1"/>
    <x v="2"/>
    <d v="2024-06-01T00:00:00"/>
    <x v="16"/>
    <x v="0"/>
    <n v="0"/>
  </r>
  <r>
    <s v="L0157"/>
    <s v="Pooja"/>
    <n v="36"/>
    <x v="0"/>
    <x v="1"/>
    <x v="156"/>
    <x v="1"/>
    <x v="139"/>
    <x v="0"/>
    <n v="1117118"/>
    <n v="15"/>
    <n v="13.54"/>
    <x v="156"/>
    <x v="3"/>
    <x v="0"/>
    <d v="2023-01-18T00:00:00"/>
    <x v="112"/>
    <x v="0"/>
    <n v="0"/>
  </r>
  <r>
    <s v="L0158"/>
    <s v="Neha"/>
    <n v="56"/>
    <x v="1"/>
    <x v="1"/>
    <x v="157"/>
    <x v="0"/>
    <x v="140"/>
    <x v="0"/>
    <n v="943194"/>
    <n v="10"/>
    <n v="12.31"/>
    <x v="157"/>
    <x v="3"/>
    <x v="3"/>
    <d v="2023-01-31T00:00:00"/>
    <x v="113"/>
    <x v="0"/>
    <n v="0"/>
  </r>
  <r>
    <s v="L0159"/>
    <s v="Neha"/>
    <n v="62"/>
    <x v="1"/>
    <x v="0"/>
    <x v="158"/>
    <x v="1"/>
    <x v="141"/>
    <x v="2"/>
    <n v="1665759"/>
    <n v="5"/>
    <n v="8.23"/>
    <x v="158"/>
    <x v="0"/>
    <x v="1"/>
    <d v="2023-04-09T00:00:00"/>
    <x v="10"/>
    <x v="2"/>
    <n v="0"/>
  </r>
  <r>
    <s v="L0160"/>
    <s v="Ankit"/>
    <n v="55"/>
    <x v="1"/>
    <x v="0"/>
    <x v="159"/>
    <x v="2"/>
    <x v="142"/>
    <x v="1"/>
    <n v="807158"/>
    <n v="20"/>
    <n v="8.6"/>
    <x v="159"/>
    <x v="3"/>
    <x v="2"/>
    <d v="2022-10-24T00:00:00"/>
    <x v="85"/>
    <x v="0"/>
    <n v="0"/>
  </r>
  <r>
    <s v="L0161"/>
    <s v="Kiran"/>
    <n v="37"/>
    <x v="0"/>
    <x v="1"/>
    <x v="160"/>
    <x v="2"/>
    <x v="143"/>
    <x v="1"/>
    <n v="1184981"/>
    <n v="15"/>
    <n v="10.61"/>
    <x v="160"/>
    <x v="1"/>
    <x v="3"/>
    <d v="2022-08-19T00:00:00"/>
    <x v="10"/>
    <x v="2"/>
    <n v="0"/>
  </r>
  <r>
    <s v="L0162"/>
    <s v="Kiran"/>
    <n v="43"/>
    <x v="0"/>
    <x v="0"/>
    <x v="161"/>
    <x v="1"/>
    <x v="144"/>
    <x v="1"/>
    <n v="791929"/>
    <n v="10"/>
    <n v="14.23"/>
    <x v="161"/>
    <x v="4"/>
    <x v="1"/>
    <d v="2022-09-27T00:00:00"/>
    <x v="114"/>
    <x v="0"/>
    <n v="0"/>
  </r>
  <r>
    <s v="L0163"/>
    <s v="Pooja"/>
    <n v="34"/>
    <x v="0"/>
    <x v="0"/>
    <x v="162"/>
    <x v="1"/>
    <x v="11"/>
    <x v="0"/>
    <n v="509529"/>
    <n v="10"/>
    <n v="11.1"/>
    <x v="162"/>
    <x v="2"/>
    <x v="2"/>
    <d v="2022-09-18T00:00:00"/>
    <x v="66"/>
    <x v="0"/>
    <n v="0"/>
  </r>
  <r>
    <s v="L0164"/>
    <s v="Rahul"/>
    <n v="63"/>
    <x v="1"/>
    <x v="1"/>
    <x v="163"/>
    <x v="0"/>
    <x v="13"/>
    <x v="2"/>
    <n v="1360707"/>
    <n v="10"/>
    <n v="13.08"/>
    <x v="163"/>
    <x v="4"/>
    <x v="3"/>
    <d v="2024-05-10T00:00:00"/>
    <x v="115"/>
    <x v="0"/>
    <n v="0"/>
  </r>
  <r>
    <s v="L0165"/>
    <s v="Pooja"/>
    <n v="58"/>
    <x v="1"/>
    <x v="1"/>
    <x v="164"/>
    <x v="0"/>
    <x v="145"/>
    <x v="1"/>
    <n v="599053"/>
    <n v="20"/>
    <n v="10"/>
    <x v="164"/>
    <x v="0"/>
    <x v="2"/>
    <d v="2024-05-16T00:00:00"/>
    <x v="116"/>
    <x v="0"/>
    <n v="0"/>
  </r>
  <r>
    <s v="L0166"/>
    <s v="Rahul"/>
    <n v="21"/>
    <x v="2"/>
    <x v="0"/>
    <x v="165"/>
    <x v="0"/>
    <x v="146"/>
    <x v="2"/>
    <n v="926706"/>
    <n v="20"/>
    <n v="10.29"/>
    <x v="165"/>
    <x v="2"/>
    <x v="2"/>
    <d v="2022-12-24T00:00:00"/>
    <x v="117"/>
    <x v="0"/>
    <n v="0"/>
  </r>
  <r>
    <s v="L0167"/>
    <s v="Priya"/>
    <n v="33"/>
    <x v="0"/>
    <x v="0"/>
    <x v="166"/>
    <x v="0"/>
    <x v="147"/>
    <x v="0"/>
    <n v="476344"/>
    <n v="10"/>
    <n v="12.96"/>
    <x v="166"/>
    <x v="1"/>
    <x v="0"/>
    <d v="2023-03-29T00:00:00"/>
    <x v="118"/>
    <x v="0"/>
    <n v="0"/>
  </r>
  <r>
    <s v="L0168"/>
    <s v="Kiran"/>
    <n v="57"/>
    <x v="1"/>
    <x v="0"/>
    <x v="167"/>
    <x v="1"/>
    <x v="148"/>
    <x v="1"/>
    <n v="1322833"/>
    <n v="10"/>
    <n v="8.24"/>
    <x v="167"/>
    <x v="1"/>
    <x v="1"/>
    <d v="2022-09-04T00:00:00"/>
    <x v="119"/>
    <x v="0"/>
    <n v="0"/>
  </r>
  <r>
    <s v="L0169"/>
    <s v="Ravi"/>
    <n v="26"/>
    <x v="2"/>
    <x v="1"/>
    <x v="168"/>
    <x v="2"/>
    <x v="50"/>
    <x v="0"/>
    <n v="284545"/>
    <n v="5"/>
    <n v="12.51"/>
    <x v="168"/>
    <x v="1"/>
    <x v="3"/>
    <d v="2024-01-11T00:00:00"/>
    <x v="120"/>
    <x v="1"/>
    <n v="1"/>
  </r>
  <r>
    <s v="L0170"/>
    <s v="Rahul"/>
    <n v="36"/>
    <x v="0"/>
    <x v="0"/>
    <x v="169"/>
    <x v="0"/>
    <x v="149"/>
    <x v="2"/>
    <n v="1070681"/>
    <n v="20"/>
    <n v="12.29"/>
    <x v="169"/>
    <x v="4"/>
    <x v="1"/>
    <d v="2022-06-26T00:00:00"/>
    <x v="10"/>
    <x v="2"/>
    <n v="0"/>
  </r>
  <r>
    <s v="L0171"/>
    <s v="Rahul"/>
    <n v="26"/>
    <x v="2"/>
    <x v="0"/>
    <x v="170"/>
    <x v="2"/>
    <x v="150"/>
    <x v="1"/>
    <n v="1073763"/>
    <n v="20"/>
    <n v="11.31"/>
    <x v="170"/>
    <x v="1"/>
    <x v="0"/>
    <d v="2023-04-14T00:00:00"/>
    <x v="20"/>
    <x v="1"/>
    <n v="1"/>
  </r>
  <r>
    <s v="L0172"/>
    <s v="Suresh"/>
    <n v="28"/>
    <x v="2"/>
    <x v="0"/>
    <x v="171"/>
    <x v="1"/>
    <x v="151"/>
    <x v="2"/>
    <n v="1889914"/>
    <n v="10"/>
    <n v="9.3000000000000007"/>
    <x v="171"/>
    <x v="2"/>
    <x v="2"/>
    <d v="2022-12-10T00:00:00"/>
    <x v="10"/>
    <x v="2"/>
    <n v="0"/>
  </r>
  <r>
    <s v="L0173"/>
    <s v="Kiran"/>
    <n v="43"/>
    <x v="0"/>
    <x v="0"/>
    <x v="172"/>
    <x v="1"/>
    <x v="152"/>
    <x v="2"/>
    <n v="1065928"/>
    <n v="10"/>
    <n v="11.49"/>
    <x v="172"/>
    <x v="4"/>
    <x v="2"/>
    <d v="2023-08-01T00:00:00"/>
    <x v="10"/>
    <x v="2"/>
    <n v="0"/>
  </r>
  <r>
    <s v="L0174"/>
    <s v="Ankit"/>
    <n v="30"/>
    <x v="0"/>
    <x v="1"/>
    <x v="173"/>
    <x v="0"/>
    <x v="153"/>
    <x v="0"/>
    <n v="817203"/>
    <n v="20"/>
    <n v="8.1999999999999993"/>
    <x v="173"/>
    <x v="3"/>
    <x v="3"/>
    <d v="2022-04-10T00:00:00"/>
    <x v="121"/>
    <x v="0"/>
    <n v="0"/>
  </r>
  <r>
    <s v="L0175"/>
    <s v="Neha"/>
    <n v="38"/>
    <x v="0"/>
    <x v="1"/>
    <x v="174"/>
    <x v="0"/>
    <x v="154"/>
    <x v="1"/>
    <n v="528441"/>
    <n v="5"/>
    <n v="9.34"/>
    <x v="174"/>
    <x v="2"/>
    <x v="3"/>
    <d v="2022-02-10T00:00:00"/>
    <x v="122"/>
    <x v="0"/>
    <n v="0"/>
  </r>
  <r>
    <s v="L0176"/>
    <s v="Suresh"/>
    <n v="55"/>
    <x v="1"/>
    <x v="1"/>
    <x v="175"/>
    <x v="1"/>
    <x v="155"/>
    <x v="0"/>
    <n v="1076709"/>
    <n v="5"/>
    <n v="8.2100000000000009"/>
    <x v="175"/>
    <x v="4"/>
    <x v="3"/>
    <d v="2022-12-27T00:00:00"/>
    <x v="123"/>
    <x v="0"/>
    <n v="0"/>
  </r>
  <r>
    <s v="L0177"/>
    <s v="Ankit"/>
    <n v="57"/>
    <x v="1"/>
    <x v="0"/>
    <x v="176"/>
    <x v="1"/>
    <x v="156"/>
    <x v="2"/>
    <n v="1383773"/>
    <n v="20"/>
    <n v="13.31"/>
    <x v="176"/>
    <x v="2"/>
    <x v="2"/>
    <d v="2022-04-05T00:00:00"/>
    <x v="124"/>
    <x v="0"/>
    <n v="0"/>
  </r>
  <r>
    <s v="L0178"/>
    <s v="Suresh"/>
    <n v="34"/>
    <x v="0"/>
    <x v="1"/>
    <x v="177"/>
    <x v="0"/>
    <x v="157"/>
    <x v="1"/>
    <n v="738270"/>
    <n v="15"/>
    <n v="12.24"/>
    <x v="177"/>
    <x v="1"/>
    <x v="2"/>
    <d v="2022-02-15T00:00:00"/>
    <x v="125"/>
    <x v="0"/>
    <n v="0"/>
  </r>
  <r>
    <s v="L0179"/>
    <s v="Pooja"/>
    <n v="29"/>
    <x v="2"/>
    <x v="0"/>
    <x v="178"/>
    <x v="2"/>
    <x v="158"/>
    <x v="1"/>
    <n v="717341"/>
    <n v="5"/>
    <n v="10.28"/>
    <x v="178"/>
    <x v="3"/>
    <x v="3"/>
    <d v="2022-08-19T00:00:00"/>
    <x v="10"/>
    <x v="2"/>
    <n v="0"/>
  </r>
  <r>
    <s v="L0180"/>
    <s v="Neha"/>
    <n v="54"/>
    <x v="1"/>
    <x v="0"/>
    <x v="179"/>
    <x v="2"/>
    <x v="9"/>
    <x v="2"/>
    <n v="1748760"/>
    <n v="20"/>
    <n v="9.77"/>
    <x v="179"/>
    <x v="4"/>
    <x v="0"/>
    <d v="2023-01-24T00:00:00"/>
    <x v="126"/>
    <x v="1"/>
    <n v="1"/>
  </r>
  <r>
    <s v="L0181"/>
    <s v="Priya"/>
    <n v="60"/>
    <x v="1"/>
    <x v="1"/>
    <x v="126"/>
    <x v="0"/>
    <x v="136"/>
    <x v="1"/>
    <n v="399618"/>
    <n v="15"/>
    <n v="8.11"/>
    <x v="180"/>
    <x v="2"/>
    <x v="1"/>
    <d v="2022-10-20T00:00:00"/>
    <x v="127"/>
    <x v="0"/>
    <n v="0"/>
  </r>
  <r>
    <s v="L0182"/>
    <s v="Kiran"/>
    <n v="52"/>
    <x v="1"/>
    <x v="0"/>
    <x v="180"/>
    <x v="2"/>
    <x v="159"/>
    <x v="0"/>
    <n v="1927960"/>
    <n v="5"/>
    <n v="12.93"/>
    <x v="181"/>
    <x v="2"/>
    <x v="0"/>
    <d v="2023-11-01T00:00:00"/>
    <x v="128"/>
    <x v="1"/>
    <n v="1"/>
  </r>
  <r>
    <s v="L0183"/>
    <s v="Kiran"/>
    <n v="38"/>
    <x v="0"/>
    <x v="0"/>
    <x v="181"/>
    <x v="2"/>
    <x v="160"/>
    <x v="1"/>
    <n v="246024"/>
    <n v="10"/>
    <n v="10.49"/>
    <x v="182"/>
    <x v="4"/>
    <x v="2"/>
    <d v="2023-07-07T00:00:00"/>
    <x v="129"/>
    <x v="0"/>
    <n v="0"/>
  </r>
  <r>
    <s v="L0184"/>
    <s v="Neha"/>
    <n v="36"/>
    <x v="0"/>
    <x v="1"/>
    <x v="182"/>
    <x v="1"/>
    <x v="161"/>
    <x v="1"/>
    <n v="721492"/>
    <n v="15"/>
    <n v="10.19"/>
    <x v="183"/>
    <x v="0"/>
    <x v="1"/>
    <d v="2023-10-19T00:00:00"/>
    <x v="130"/>
    <x v="0"/>
    <n v="0"/>
  </r>
  <r>
    <s v="L0185"/>
    <s v="Amit"/>
    <n v="25"/>
    <x v="2"/>
    <x v="1"/>
    <x v="183"/>
    <x v="2"/>
    <x v="55"/>
    <x v="0"/>
    <n v="1540886"/>
    <n v="20"/>
    <n v="10.83"/>
    <x v="184"/>
    <x v="4"/>
    <x v="1"/>
    <d v="2023-12-29T00:00:00"/>
    <x v="10"/>
    <x v="2"/>
    <n v="0"/>
  </r>
  <r>
    <s v="L0186"/>
    <s v="Pooja"/>
    <n v="62"/>
    <x v="1"/>
    <x v="0"/>
    <x v="184"/>
    <x v="0"/>
    <x v="57"/>
    <x v="0"/>
    <n v="708890"/>
    <n v="15"/>
    <n v="7.26"/>
    <x v="185"/>
    <x v="0"/>
    <x v="1"/>
    <d v="2023-07-06T00:00:00"/>
    <x v="131"/>
    <x v="0"/>
    <n v="0"/>
  </r>
  <r>
    <s v="L0187"/>
    <s v="Amit"/>
    <n v="40"/>
    <x v="0"/>
    <x v="1"/>
    <x v="185"/>
    <x v="2"/>
    <x v="162"/>
    <x v="2"/>
    <n v="1245772"/>
    <n v="10"/>
    <n v="14.95"/>
    <x v="186"/>
    <x v="4"/>
    <x v="2"/>
    <d v="2022-12-25T00:00:00"/>
    <x v="132"/>
    <x v="0"/>
    <n v="0"/>
  </r>
  <r>
    <s v="L0188"/>
    <s v="Priya"/>
    <n v="28"/>
    <x v="2"/>
    <x v="1"/>
    <x v="186"/>
    <x v="2"/>
    <x v="163"/>
    <x v="0"/>
    <n v="1327151"/>
    <n v="5"/>
    <n v="8.82"/>
    <x v="187"/>
    <x v="3"/>
    <x v="1"/>
    <d v="2022-03-16T00:00:00"/>
    <x v="133"/>
    <x v="0"/>
    <n v="0"/>
  </r>
  <r>
    <s v="L0189"/>
    <s v="Neha"/>
    <n v="44"/>
    <x v="0"/>
    <x v="0"/>
    <x v="187"/>
    <x v="1"/>
    <x v="164"/>
    <x v="2"/>
    <n v="1365547"/>
    <n v="10"/>
    <n v="7.42"/>
    <x v="188"/>
    <x v="0"/>
    <x v="0"/>
    <d v="2023-09-01T00:00:00"/>
    <x v="10"/>
    <x v="2"/>
    <n v="0"/>
  </r>
  <r>
    <s v="L0190"/>
    <s v="Amit"/>
    <n v="59"/>
    <x v="1"/>
    <x v="1"/>
    <x v="188"/>
    <x v="1"/>
    <x v="165"/>
    <x v="1"/>
    <n v="1738123"/>
    <n v="10"/>
    <n v="11.26"/>
    <x v="189"/>
    <x v="0"/>
    <x v="1"/>
    <d v="2022-05-31T00:00:00"/>
    <x v="10"/>
    <x v="2"/>
    <n v="0"/>
  </r>
  <r>
    <s v="L0191"/>
    <s v="Pooja"/>
    <n v="39"/>
    <x v="0"/>
    <x v="0"/>
    <x v="189"/>
    <x v="0"/>
    <x v="137"/>
    <x v="1"/>
    <n v="1195891"/>
    <n v="10"/>
    <n v="10.68"/>
    <x v="190"/>
    <x v="4"/>
    <x v="0"/>
    <d v="2023-09-02T00:00:00"/>
    <x v="134"/>
    <x v="0"/>
    <n v="0"/>
  </r>
  <r>
    <s v="L0192"/>
    <s v="Amit"/>
    <n v="45"/>
    <x v="0"/>
    <x v="0"/>
    <x v="190"/>
    <x v="0"/>
    <x v="66"/>
    <x v="0"/>
    <n v="798076"/>
    <n v="20"/>
    <n v="14.48"/>
    <x v="191"/>
    <x v="2"/>
    <x v="2"/>
    <d v="2022-11-24T00:00:00"/>
    <x v="135"/>
    <x v="0"/>
    <n v="0"/>
  </r>
  <r>
    <s v="L0193"/>
    <s v="Suresh"/>
    <n v="65"/>
    <x v="1"/>
    <x v="1"/>
    <x v="191"/>
    <x v="1"/>
    <x v="166"/>
    <x v="1"/>
    <n v="1551467"/>
    <n v="10"/>
    <n v="10.66"/>
    <x v="192"/>
    <x v="2"/>
    <x v="3"/>
    <d v="2022-05-07T00:00:00"/>
    <x v="30"/>
    <x v="0"/>
    <n v="0"/>
  </r>
  <r>
    <s v="L0194"/>
    <s v="Ravi"/>
    <n v="60"/>
    <x v="1"/>
    <x v="0"/>
    <x v="192"/>
    <x v="1"/>
    <x v="30"/>
    <x v="0"/>
    <n v="632796"/>
    <n v="15"/>
    <n v="9.52"/>
    <x v="193"/>
    <x v="1"/>
    <x v="1"/>
    <d v="2022-06-20T00:00:00"/>
    <x v="10"/>
    <x v="2"/>
    <n v="0"/>
  </r>
  <r>
    <s v="L0195"/>
    <s v="Sneha"/>
    <n v="23"/>
    <x v="2"/>
    <x v="0"/>
    <x v="193"/>
    <x v="1"/>
    <x v="167"/>
    <x v="0"/>
    <n v="1173661"/>
    <n v="20"/>
    <n v="7.14"/>
    <x v="194"/>
    <x v="3"/>
    <x v="2"/>
    <d v="2023-09-17T00:00:00"/>
    <x v="136"/>
    <x v="0"/>
    <n v="0"/>
  </r>
  <r>
    <s v="L0196"/>
    <s v="Rahul"/>
    <n v="32"/>
    <x v="0"/>
    <x v="1"/>
    <x v="194"/>
    <x v="2"/>
    <x v="85"/>
    <x v="1"/>
    <n v="1458504"/>
    <n v="10"/>
    <n v="8.23"/>
    <x v="195"/>
    <x v="1"/>
    <x v="1"/>
    <d v="2023-12-05T00:00:00"/>
    <x v="137"/>
    <x v="1"/>
    <n v="1"/>
  </r>
  <r>
    <s v="L0197"/>
    <s v="Sneha"/>
    <n v="28"/>
    <x v="2"/>
    <x v="0"/>
    <x v="195"/>
    <x v="1"/>
    <x v="168"/>
    <x v="0"/>
    <n v="705891"/>
    <n v="20"/>
    <n v="7.46"/>
    <x v="196"/>
    <x v="0"/>
    <x v="3"/>
    <d v="2023-05-24T00:00:00"/>
    <x v="138"/>
    <x v="0"/>
    <n v="0"/>
  </r>
  <r>
    <s v="L0198"/>
    <s v="Sneha"/>
    <n v="53"/>
    <x v="1"/>
    <x v="0"/>
    <x v="196"/>
    <x v="1"/>
    <x v="169"/>
    <x v="1"/>
    <n v="221863"/>
    <n v="15"/>
    <n v="12.12"/>
    <x v="197"/>
    <x v="1"/>
    <x v="3"/>
    <d v="2023-12-14T00:00:00"/>
    <x v="10"/>
    <x v="2"/>
    <n v="0"/>
  </r>
  <r>
    <s v="L0199"/>
    <s v="Kiran"/>
    <n v="37"/>
    <x v="0"/>
    <x v="0"/>
    <x v="197"/>
    <x v="1"/>
    <x v="126"/>
    <x v="0"/>
    <n v="796923"/>
    <n v="20"/>
    <n v="14.12"/>
    <x v="198"/>
    <x v="4"/>
    <x v="0"/>
    <d v="2023-09-18T00:00:00"/>
    <x v="139"/>
    <x v="0"/>
    <n v="0"/>
  </r>
  <r>
    <s v="L0200"/>
    <s v="Ankit"/>
    <n v="28"/>
    <x v="2"/>
    <x v="1"/>
    <x v="198"/>
    <x v="0"/>
    <x v="170"/>
    <x v="2"/>
    <n v="311862"/>
    <n v="5"/>
    <n v="14.39"/>
    <x v="199"/>
    <x v="3"/>
    <x v="1"/>
    <d v="2022-08-25T00:00:00"/>
    <x v="140"/>
    <x v="1"/>
    <n v="1"/>
  </r>
  <r>
    <s v="L0201"/>
    <s v="Neha"/>
    <n v="23"/>
    <x v="2"/>
    <x v="0"/>
    <x v="199"/>
    <x v="2"/>
    <x v="171"/>
    <x v="1"/>
    <n v="1870257"/>
    <n v="20"/>
    <n v="8.8699999999999992"/>
    <x v="200"/>
    <x v="3"/>
    <x v="1"/>
    <d v="2023-01-28T00:00:00"/>
    <x v="141"/>
    <x v="0"/>
    <n v="0"/>
  </r>
  <r>
    <s v="L0202"/>
    <s v="Priya"/>
    <n v="57"/>
    <x v="1"/>
    <x v="1"/>
    <x v="200"/>
    <x v="2"/>
    <x v="172"/>
    <x v="0"/>
    <n v="1959048"/>
    <n v="10"/>
    <n v="13.52"/>
    <x v="201"/>
    <x v="1"/>
    <x v="0"/>
    <d v="2022-05-24T00:00:00"/>
    <x v="142"/>
    <x v="0"/>
    <n v="0"/>
  </r>
  <r>
    <s v="L0203"/>
    <s v="Kiran"/>
    <n v="30"/>
    <x v="0"/>
    <x v="0"/>
    <x v="201"/>
    <x v="2"/>
    <x v="173"/>
    <x v="0"/>
    <n v="158785"/>
    <n v="15"/>
    <n v="7.14"/>
    <x v="202"/>
    <x v="1"/>
    <x v="3"/>
    <d v="2022-01-06T00:00:00"/>
    <x v="143"/>
    <x v="0"/>
    <n v="0"/>
  </r>
  <r>
    <s v="L0204"/>
    <s v="Amit"/>
    <n v="28"/>
    <x v="2"/>
    <x v="1"/>
    <x v="202"/>
    <x v="1"/>
    <x v="174"/>
    <x v="1"/>
    <n v="312076"/>
    <n v="10"/>
    <n v="8.6199999999999992"/>
    <x v="203"/>
    <x v="1"/>
    <x v="2"/>
    <d v="2023-08-27T00:00:00"/>
    <x v="144"/>
    <x v="0"/>
    <n v="0"/>
  </r>
  <r>
    <s v="L0205"/>
    <s v="Pooja"/>
    <n v="21"/>
    <x v="2"/>
    <x v="1"/>
    <x v="203"/>
    <x v="1"/>
    <x v="175"/>
    <x v="0"/>
    <n v="1922621"/>
    <n v="20"/>
    <n v="11.92"/>
    <x v="204"/>
    <x v="1"/>
    <x v="0"/>
    <d v="2024-05-09T00:00:00"/>
    <x v="10"/>
    <x v="2"/>
    <n v="0"/>
  </r>
  <r>
    <s v="L0206"/>
    <s v="Rahul"/>
    <n v="34"/>
    <x v="0"/>
    <x v="0"/>
    <x v="204"/>
    <x v="1"/>
    <x v="124"/>
    <x v="1"/>
    <n v="947734"/>
    <n v="20"/>
    <n v="7.83"/>
    <x v="205"/>
    <x v="1"/>
    <x v="2"/>
    <d v="2022-01-23T00:00:00"/>
    <x v="145"/>
    <x v="0"/>
    <n v="0"/>
  </r>
  <r>
    <s v="L0207"/>
    <s v="Priya"/>
    <n v="30"/>
    <x v="0"/>
    <x v="0"/>
    <x v="205"/>
    <x v="1"/>
    <x v="31"/>
    <x v="0"/>
    <n v="502367"/>
    <n v="15"/>
    <n v="8.3800000000000008"/>
    <x v="206"/>
    <x v="0"/>
    <x v="0"/>
    <d v="2023-03-09T00:00:00"/>
    <x v="146"/>
    <x v="0"/>
    <n v="0"/>
  </r>
  <r>
    <s v="L0208"/>
    <s v="Ravi"/>
    <n v="58"/>
    <x v="1"/>
    <x v="1"/>
    <x v="206"/>
    <x v="1"/>
    <x v="176"/>
    <x v="0"/>
    <n v="195646"/>
    <n v="5"/>
    <n v="13.58"/>
    <x v="207"/>
    <x v="4"/>
    <x v="0"/>
    <d v="2022-07-01T00:00:00"/>
    <x v="147"/>
    <x v="0"/>
    <n v="0"/>
  </r>
  <r>
    <s v="L0209"/>
    <s v="Priya"/>
    <n v="38"/>
    <x v="0"/>
    <x v="0"/>
    <x v="207"/>
    <x v="2"/>
    <x v="110"/>
    <x v="0"/>
    <n v="606861"/>
    <n v="5"/>
    <n v="7.88"/>
    <x v="208"/>
    <x v="0"/>
    <x v="2"/>
    <d v="2024-05-26T00:00:00"/>
    <x v="10"/>
    <x v="2"/>
    <n v="0"/>
  </r>
  <r>
    <s v="L0210"/>
    <s v="Pooja"/>
    <n v="52"/>
    <x v="1"/>
    <x v="0"/>
    <x v="208"/>
    <x v="0"/>
    <x v="177"/>
    <x v="2"/>
    <n v="1170140"/>
    <n v="10"/>
    <n v="12.91"/>
    <x v="209"/>
    <x v="2"/>
    <x v="2"/>
    <d v="2023-12-21T00:00:00"/>
    <x v="10"/>
    <x v="2"/>
    <n v="0"/>
  </r>
  <r>
    <s v="L0211"/>
    <s v="Rahul"/>
    <n v="21"/>
    <x v="2"/>
    <x v="0"/>
    <x v="209"/>
    <x v="0"/>
    <x v="178"/>
    <x v="1"/>
    <n v="1657708"/>
    <n v="15"/>
    <n v="7.23"/>
    <x v="210"/>
    <x v="2"/>
    <x v="2"/>
    <d v="2023-08-04T00:00:00"/>
    <x v="148"/>
    <x v="0"/>
    <n v="0"/>
  </r>
  <r>
    <s v="L0212"/>
    <s v="Neha"/>
    <n v="27"/>
    <x v="2"/>
    <x v="1"/>
    <x v="210"/>
    <x v="2"/>
    <x v="179"/>
    <x v="1"/>
    <n v="733785"/>
    <n v="10"/>
    <n v="13.15"/>
    <x v="211"/>
    <x v="1"/>
    <x v="3"/>
    <d v="2024-02-22T00:00:00"/>
    <x v="149"/>
    <x v="0"/>
    <n v="0"/>
  </r>
  <r>
    <s v="L0213"/>
    <s v="Neha"/>
    <n v="25"/>
    <x v="2"/>
    <x v="1"/>
    <x v="211"/>
    <x v="2"/>
    <x v="180"/>
    <x v="2"/>
    <n v="663929"/>
    <n v="20"/>
    <n v="11.68"/>
    <x v="212"/>
    <x v="4"/>
    <x v="0"/>
    <d v="2023-12-20T00:00:00"/>
    <x v="150"/>
    <x v="0"/>
    <n v="0"/>
  </r>
  <r>
    <s v="L0214"/>
    <s v="Sneha"/>
    <n v="43"/>
    <x v="0"/>
    <x v="1"/>
    <x v="212"/>
    <x v="2"/>
    <x v="181"/>
    <x v="2"/>
    <n v="778600"/>
    <n v="20"/>
    <n v="13.65"/>
    <x v="213"/>
    <x v="2"/>
    <x v="0"/>
    <d v="2024-02-01T00:00:00"/>
    <x v="10"/>
    <x v="2"/>
    <n v="0"/>
  </r>
  <r>
    <s v="L0215"/>
    <s v="Ankit"/>
    <n v="27"/>
    <x v="2"/>
    <x v="0"/>
    <x v="213"/>
    <x v="1"/>
    <x v="182"/>
    <x v="2"/>
    <n v="793174"/>
    <n v="15"/>
    <n v="8.32"/>
    <x v="214"/>
    <x v="1"/>
    <x v="0"/>
    <d v="2022-03-31T00:00:00"/>
    <x v="10"/>
    <x v="2"/>
    <n v="0"/>
  </r>
  <r>
    <s v="L0216"/>
    <s v="Kiran"/>
    <n v="48"/>
    <x v="1"/>
    <x v="0"/>
    <x v="214"/>
    <x v="0"/>
    <x v="183"/>
    <x v="0"/>
    <n v="1332368"/>
    <n v="15"/>
    <n v="14.19"/>
    <x v="215"/>
    <x v="3"/>
    <x v="1"/>
    <d v="2022-09-24T00:00:00"/>
    <x v="10"/>
    <x v="2"/>
    <n v="0"/>
  </r>
  <r>
    <s v="L0217"/>
    <s v="Suresh"/>
    <n v="46"/>
    <x v="1"/>
    <x v="1"/>
    <x v="215"/>
    <x v="0"/>
    <x v="10"/>
    <x v="0"/>
    <n v="380422"/>
    <n v="15"/>
    <n v="14.43"/>
    <x v="216"/>
    <x v="1"/>
    <x v="1"/>
    <d v="2022-01-24T00:00:00"/>
    <x v="151"/>
    <x v="1"/>
    <n v="1"/>
  </r>
  <r>
    <s v="L0218"/>
    <s v="Sneha"/>
    <n v="63"/>
    <x v="1"/>
    <x v="1"/>
    <x v="216"/>
    <x v="1"/>
    <x v="184"/>
    <x v="2"/>
    <n v="1997136"/>
    <n v="10"/>
    <n v="14.32"/>
    <x v="217"/>
    <x v="3"/>
    <x v="2"/>
    <d v="2023-07-27T00:00:00"/>
    <x v="152"/>
    <x v="1"/>
    <n v="1"/>
  </r>
  <r>
    <s v="L0219"/>
    <s v="Suresh"/>
    <n v="51"/>
    <x v="1"/>
    <x v="0"/>
    <x v="217"/>
    <x v="1"/>
    <x v="92"/>
    <x v="1"/>
    <n v="196532"/>
    <n v="10"/>
    <n v="12.24"/>
    <x v="218"/>
    <x v="2"/>
    <x v="3"/>
    <d v="2022-08-06T00:00:00"/>
    <x v="10"/>
    <x v="2"/>
    <n v="0"/>
  </r>
  <r>
    <s v="L0220"/>
    <s v="Amit"/>
    <n v="58"/>
    <x v="1"/>
    <x v="1"/>
    <x v="218"/>
    <x v="1"/>
    <x v="185"/>
    <x v="0"/>
    <n v="1982569"/>
    <n v="5"/>
    <n v="7.06"/>
    <x v="219"/>
    <x v="1"/>
    <x v="2"/>
    <d v="2022-09-24T00:00:00"/>
    <x v="153"/>
    <x v="0"/>
    <n v="0"/>
  </r>
  <r>
    <s v="L0221"/>
    <s v="Kiran"/>
    <n v="50"/>
    <x v="1"/>
    <x v="1"/>
    <x v="219"/>
    <x v="1"/>
    <x v="186"/>
    <x v="1"/>
    <n v="607919"/>
    <n v="10"/>
    <n v="10.029999999999999"/>
    <x v="220"/>
    <x v="4"/>
    <x v="0"/>
    <d v="2023-01-05T00:00:00"/>
    <x v="112"/>
    <x v="0"/>
    <n v="0"/>
  </r>
  <r>
    <s v="L0222"/>
    <s v="Amit"/>
    <n v="32"/>
    <x v="0"/>
    <x v="1"/>
    <x v="220"/>
    <x v="2"/>
    <x v="71"/>
    <x v="2"/>
    <n v="1275170"/>
    <n v="5"/>
    <n v="13.08"/>
    <x v="221"/>
    <x v="4"/>
    <x v="2"/>
    <d v="2023-10-07T00:00:00"/>
    <x v="154"/>
    <x v="0"/>
    <n v="0"/>
  </r>
  <r>
    <s v="L0223"/>
    <s v="Kiran"/>
    <n v="44"/>
    <x v="0"/>
    <x v="0"/>
    <x v="221"/>
    <x v="2"/>
    <x v="187"/>
    <x v="0"/>
    <n v="306068"/>
    <n v="10"/>
    <n v="7.43"/>
    <x v="222"/>
    <x v="4"/>
    <x v="2"/>
    <d v="2022-12-05T00:00:00"/>
    <x v="155"/>
    <x v="0"/>
    <n v="0"/>
  </r>
  <r>
    <s v="L0224"/>
    <s v="Priya"/>
    <n v="45"/>
    <x v="0"/>
    <x v="0"/>
    <x v="222"/>
    <x v="0"/>
    <x v="188"/>
    <x v="1"/>
    <n v="503398"/>
    <n v="15"/>
    <n v="11.71"/>
    <x v="223"/>
    <x v="4"/>
    <x v="0"/>
    <d v="2022-03-14T00:00:00"/>
    <x v="57"/>
    <x v="0"/>
    <n v="0"/>
  </r>
  <r>
    <s v="L0225"/>
    <s v="Ravi"/>
    <n v="22"/>
    <x v="2"/>
    <x v="1"/>
    <x v="223"/>
    <x v="0"/>
    <x v="189"/>
    <x v="2"/>
    <n v="537009"/>
    <n v="10"/>
    <n v="14.56"/>
    <x v="224"/>
    <x v="0"/>
    <x v="3"/>
    <d v="2023-12-17T00:00:00"/>
    <x v="156"/>
    <x v="0"/>
    <n v="0"/>
  </r>
  <r>
    <s v="L0226"/>
    <s v="Suresh"/>
    <n v="36"/>
    <x v="0"/>
    <x v="0"/>
    <x v="224"/>
    <x v="2"/>
    <x v="190"/>
    <x v="2"/>
    <n v="1603284"/>
    <n v="10"/>
    <n v="7"/>
    <x v="225"/>
    <x v="4"/>
    <x v="0"/>
    <d v="2022-10-27T00:00:00"/>
    <x v="157"/>
    <x v="1"/>
    <n v="1"/>
  </r>
  <r>
    <s v="L0227"/>
    <s v="Rahul"/>
    <n v="38"/>
    <x v="0"/>
    <x v="0"/>
    <x v="225"/>
    <x v="0"/>
    <x v="47"/>
    <x v="1"/>
    <n v="1062236"/>
    <n v="5"/>
    <n v="10.32"/>
    <x v="226"/>
    <x v="0"/>
    <x v="3"/>
    <d v="2024-02-09T00:00:00"/>
    <x v="10"/>
    <x v="2"/>
    <n v="0"/>
  </r>
  <r>
    <s v="L0228"/>
    <s v="Priya"/>
    <n v="21"/>
    <x v="2"/>
    <x v="1"/>
    <x v="226"/>
    <x v="0"/>
    <x v="191"/>
    <x v="0"/>
    <n v="1338341"/>
    <n v="5"/>
    <n v="7.92"/>
    <x v="227"/>
    <x v="4"/>
    <x v="3"/>
    <d v="2022-08-08T00:00:00"/>
    <x v="158"/>
    <x v="0"/>
    <n v="0"/>
  </r>
  <r>
    <s v="L0229"/>
    <s v="Ravi"/>
    <n v="38"/>
    <x v="0"/>
    <x v="0"/>
    <x v="227"/>
    <x v="1"/>
    <x v="7"/>
    <x v="1"/>
    <n v="599725"/>
    <n v="10"/>
    <n v="8.33"/>
    <x v="228"/>
    <x v="0"/>
    <x v="1"/>
    <d v="2022-09-05T00:00:00"/>
    <x v="159"/>
    <x v="0"/>
    <n v="0"/>
  </r>
  <r>
    <s v="L0230"/>
    <s v="Priya"/>
    <n v="32"/>
    <x v="0"/>
    <x v="0"/>
    <x v="228"/>
    <x v="0"/>
    <x v="192"/>
    <x v="0"/>
    <n v="1081856"/>
    <n v="20"/>
    <n v="7.6"/>
    <x v="229"/>
    <x v="2"/>
    <x v="0"/>
    <d v="2023-06-15T00:00:00"/>
    <x v="129"/>
    <x v="0"/>
    <n v="0"/>
  </r>
  <r>
    <s v="L0231"/>
    <s v="Rahul"/>
    <n v="33"/>
    <x v="0"/>
    <x v="0"/>
    <x v="229"/>
    <x v="1"/>
    <x v="193"/>
    <x v="2"/>
    <n v="1909645"/>
    <n v="5"/>
    <n v="9.93"/>
    <x v="230"/>
    <x v="1"/>
    <x v="1"/>
    <d v="2022-12-05T00:00:00"/>
    <x v="160"/>
    <x v="0"/>
    <n v="0"/>
  </r>
  <r>
    <s v="L0232"/>
    <s v="Amit"/>
    <n v="26"/>
    <x v="2"/>
    <x v="1"/>
    <x v="230"/>
    <x v="1"/>
    <x v="51"/>
    <x v="1"/>
    <n v="613301"/>
    <n v="20"/>
    <n v="10.28"/>
    <x v="231"/>
    <x v="1"/>
    <x v="3"/>
    <d v="2022-11-30T00:00:00"/>
    <x v="161"/>
    <x v="1"/>
    <n v="1"/>
  </r>
  <r>
    <s v="L0233"/>
    <s v="Ravi"/>
    <n v="58"/>
    <x v="1"/>
    <x v="0"/>
    <x v="231"/>
    <x v="2"/>
    <x v="194"/>
    <x v="1"/>
    <n v="1565503"/>
    <n v="10"/>
    <n v="12.95"/>
    <x v="232"/>
    <x v="1"/>
    <x v="3"/>
    <d v="2022-02-13T00:00:00"/>
    <x v="162"/>
    <x v="0"/>
    <n v="0"/>
  </r>
  <r>
    <s v="L0234"/>
    <s v="Kiran"/>
    <n v="36"/>
    <x v="0"/>
    <x v="0"/>
    <x v="232"/>
    <x v="1"/>
    <x v="29"/>
    <x v="2"/>
    <n v="1172407"/>
    <n v="5"/>
    <n v="8.56"/>
    <x v="233"/>
    <x v="2"/>
    <x v="3"/>
    <d v="2024-02-16T00:00:00"/>
    <x v="163"/>
    <x v="0"/>
    <n v="0"/>
  </r>
  <r>
    <s v="L0235"/>
    <s v="Rahul"/>
    <n v="27"/>
    <x v="2"/>
    <x v="1"/>
    <x v="233"/>
    <x v="0"/>
    <x v="73"/>
    <x v="0"/>
    <n v="214712"/>
    <n v="5"/>
    <n v="13.6"/>
    <x v="234"/>
    <x v="4"/>
    <x v="1"/>
    <d v="2022-09-23T00:00:00"/>
    <x v="164"/>
    <x v="0"/>
    <n v="0"/>
  </r>
  <r>
    <s v="L0236"/>
    <s v="Amit"/>
    <n v="45"/>
    <x v="0"/>
    <x v="0"/>
    <x v="234"/>
    <x v="1"/>
    <x v="195"/>
    <x v="1"/>
    <n v="1078718"/>
    <n v="15"/>
    <n v="8.9700000000000006"/>
    <x v="235"/>
    <x v="3"/>
    <x v="1"/>
    <d v="2022-12-21T00:00:00"/>
    <x v="10"/>
    <x v="2"/>
    <n v="0"/>
  </r>
  <r>
    <s v="L0237"/>
    <s v="Amit"/>
    <n v="47"/>
    <x v="1"/>
    <x v="1"/>
    <x v="235"/>
    <x v="2"/>
    <x v="59"/>
    <x v="0"/>
    <n v="276891"/>
    <n v="20"/>
    <n v="10.18"/>
    <x v="236"/>
    <x v="3"/>
    <x v="1"/>
    <d v="2023-12-29T00:00:00"/>
    <x v="165"/>
    <x v="0"/>
    <n v="0"/>
  </r>
  <r>
    <s v="L0238"/>
    <s v="Ravi"/>
    <n v="30"/>
    <x v="0"/>
    <x v="1"/>
    <x v="236"/>
    <x v="2"/>
    <x v="54"/>
    <x v="0"/>
    <n v="233248"/>
    <n v="10"/>
    <n v="12.93"/>
    <x v="237"/>
    <x v="3"/>
    <x v="1"/>
    <d v="2023-09-23T00:00:00"/>
    <x v="166"/>
    <x v="0"/>
    <n v="0"/>
  </r>
  <r>
    <s v="L0239"/>
    <s v="Neha"/>
    <n v="33"/>
    <x v="0"/>
    <x v="1"/>
    <x v="237"/>
    <x v="1"/>
    <x v="196"/>
    <x v="1"/>
    <n v="1363232"/>
    <n v="10"/>
    <n v="14.18"/>
    <x v="238"/>
    <x v="1"/>
    <x v="2"/>
    <d v="2024-05-22T00:00:00"/>
    <x v="10"/>
    <x v="2"/>
    <n v="0"/>
  </r>
  <r>
    <s v="L0240"/>
    <s v="Ravi"/>
    <n v="57"/>
    <x v="1"/>
    <x v="1"/>
    <x v="238"/>
    <x v="1"/>
    <x v="11"/>
    <x v="0"/>
    <n v="1596037"/>
    <n v="10"/>
    <n v="14.77"/>
    <x v="239"/>
    <x v="3"/>
    <x v="3"/>
    <d v="2024-05-22T00:00:00"/>
    <x v="10"/>
    <x v="2"/>
    <n v="0"/>
  </r>
  <r>
    <s v="L0241"/>
    <s v="Rahul"/>
    <n v="60"/>
    <x v="1"/>
    <x v="1"/>
    <x v="239"/>
    <x v="1"/>
    <x v="197"/>
    <x v="0"/>
    <n v="939787"/>
    <n v="20"/>
    <n v="13.27"/>
    <x v="240"/>
    <x v="0"/>
    <x v="0"/>
    <d v="2024-04-22T00:00:00"/>
    <x v="167"/>
    <x v="0"/>
    <n v="0"/>
  </r>
  <r>
    <s v="L0242"/>
    <s v="Suresh"/>
    <n v="36"/>
    <x v="0"/>
    <x v="0"/>
    <x v="240"/>
    <x v="1"/>
    <x v="106"/>
    <x v="2"/>
    <n v="1972057"/>
    <n v="5"/>
    <n v="12.03"/>
    <x v="241"/>
    <x v="3"/>
    <x v="0"/>
    <d v="2022-10-02T00:00:00"/>
    <x v="68"/>
    <x v="0"/>
    <n v="0"/>
  </r>
  <r>
    <s v="L0243"/>
    <s v="Neha"/>
    <n v="42"/>
    <x v="0"/>
    <x v="1"/>
    <x v="241"/>
    <x v="2"/>
    <x v="198"/>
    <x v="2"/>
    <n v="1643164"/>
    <n v="15"/>
    <n v="7.82"/>
    <x v="242"/>
    <x v="3"/>
    <x v="1"/>
    <d v="2022-07-12T00:00:00"/>
    <x v="168"/>
    <x v="0"/>
    <n v="0"/>
  </r>
  <r>
    <s v="L0244"/>
    <s v="Rahul"/>
    <n v="61"/>
    <x v="1"/>
    <x v="0"/>
    <x v="242"/>
    <x v="1"/>
    <x v="199"/>
    <x v="2"/>
    <n v="118298"/>
    <n v="15"/>
    <n v="14.58"/>
    <x v="243"/>
    <x v="4"/>
    <x v="0"/>
    <d v="2022-03-04T00:00:00"/>
    <x v="169"/>
    <x v="1"/>
    <n v="1"/>
  </r>
  <r>
    <s v="L0245"/>
    <s v="Ankit"/>
    <n v="40"/>
    <x v="0"/>
    <x v="0"/>
    <x v="243"/>
    <x v="2"/>
    <x v="200"/>
    <x v="0"/>
    <n v="976598"/>
    <n v="5"/>
    <n v="7.08"/>
    <x v="244"/>
    <x v="3"/>
    <x v="1"/>
    <d v="2023-04-05T00:00:00"/>
    <x v="170"/>
    <x v="1"/>
    <n v="1"/>
  </r>
  <r>
    <s v="L0246"/>
    <s v="Ravi"/>
    <n v="28"/>
    <x v="2"/>
    <x v="1"/>
    <x v="244"/>
    <x v="1"/>
    <x v="201"/>
    <x v="2"/>
    <n v="1583502"/>
    <n v="20"/>
    <n v="12.86"/>
    <x v="245"/>
    <x v="3"/>
    <x v="3"/>
    <d v="2024-05-26T00:00:00"/>
    <x v="171"/>
    <x v="0"/>
    <n v="0"/>
  </r>
  <r>
    <s v="L0247"/>
    <s v="Rahul"/>
    <n v="40"/>
    <x v="0"/>
    <x v="0"/>
    <x v="245"/>
    <x v="0"/>
    <x v="202"/>
    <x v="2"/>
    <n v="441954"/>
    <n v="5"/>
    <n v="9.0299999999999994"/>
    <x v="246"/>
    <x v="0"/>
    <x v="3"/>
    <d v="2022-02-20T00:00:00"/>
    <x v="172"/>
    <x v="0"/>
    <n v="0"/>
  </r>
  <r>
    <s v="L0248"/>
    <s v="Kiran"/>
    <n v="64"/>
    <x v="1"/>
    <x v="0"/>
    <x v="246"/>
    <x v="2"/>
    <x v="203"/>
    <x v="1"/>
    <n v="1764567"/>
    <n v="5"/>
    <n v="11.33"/>
    <x v="247"/>
    <x v="2"/>
    <x v="0"/>
    <d v="2022-07-28T00:00:00"/>
    <x v="173"/>
    <x v="1"/>
    <n v="1"/>
  </r>
  <r>
    <s v="L0249"/>
    <s v="Neha"/>
    <n v="55"/>
    <x v="1"/>
    <x v="0"/>
    <x v="247"/>
    <x v="2"/>
    <x v="204"/>
    <x v="1"/>
    <n v="547327"/>
    <n v="5"/>
    <n v="14.54"/>
    <x v="248"/>
    <x v="2"/>
    <x v="1"/>
    <d v="2023-10-19T00:00:00"/>
    <x v="174"/>
    <x v="0"/>
    <n v="0"/>
  </r>
  <r>
    <s v="L0250"/>
    <s v="Suresh"/>
    <n v="37"/>
    <x v="0"/>
    <x v="1"/>
    <x v="248"/>
    <x v="1"/>
    <x v="205"/>
    <x v="0"/>
    <n v="1971803"/>
    <n v="15"/>
    <n v="11.32"/>
    <x v="249"/>
    <x v="4"/>
    <x v="1"/>
    <d v="2024-05-17T00:00:00"/>
    <x v="175"/>
    <x v="1"/>
    <n v="1"/>
  </r>
  <r>
    <s v="L0251"/>
    <s v="Amit"/>
    <n v="44"/>
    <x v="0"/>
    <x v="0"/>
    <x v="249"/>
    <x v="0"/>
    <x v="206"/>
    <x v="0"/>
    <n v="1371519"/>
    <n v="15"/>
    <n v="11.76"/>
    <x v="250"/>
    <x v="0"/>
    <x v="0"/>
    <d v="2023-11-02T00:00:00"/>
    <x v="176"/>
    <x v="0"/>
    <n v="0"/>
  </r>
  <r>
    <s v="L0252"/>
    <s v="Rahul"/>
    <n v="49"/>
    <x v="1"/>
    <x v="1"/>
    <x v="250"/>
    <x v="0"/>
    <x v="23"/>
    <x v="2"/>
    <n v="551229"/>
    <n v="15"/>
    <n v="8.7200000000000006"/>
    <x v="251"/>
    <x v="2"/>
    <x v="2"/>
    <d v="2022-12-09T00:00:00"/>
    <x v="10"/>
    <x v="2"/>
    <n v="0"/>
  </r>
  <r>
    <s v="L0253"/>
    <s v="Kiran"/>
    <n v="53"/>
    <x v="1"/>
    <x v="0"/>
    <x v="251"/>
    <x v="0"/>
    <x v="207"/>
    <x v="0"/>
    <n v="1020864"/>
    <n v="10"/>
    <n v="14.64"/>
    <x v="252"/>
    <x v="1"/>
    <x v="2"/>
    <d v="2022-05-31T00:00:00"/>
    <x v="177"/>
    <x v="0"/>
    <n v="0"/>
  </r>
  <r>
    <s v="L0254"/>
    <s v="Sneha"/>
    <n v="25"/>
    <x v="2"/>
    <x v="1"/>
    <x v="252"/>
    <x v="2"/>
    <x v="208"/>
    <x v="1"/>
    <n v="186964"/>
    <n v="20"/>
    <n v="13.83"/>
    <x v="253"/>
    <x v="0"/>
    <x v="3"/>
    <d v="2023-03-16T00:00:00"/>
    <x v="118"/>
    <x v="1"/>
    <n v="1"/>
  </r>
  <r>
    <s v="L0255"/>
    <s v="Sneha"/>
    <n v="62"/>
    <x v="1"/>
    <x v="0"/>
    <x v="253"/>
    <x v="0"/>
    <x v="92"/>
    <x v="1"/>
    <n v="1606448"/>
    <n v="10"/>
    <n v="11.83"/>
    <x v="254"/>
    <x v="0"/>
    <x v="0"/>
    <d v="2024-02-18T00:00:00"/>
    <x v="10"/>
    <x v="2"/>
    <n v="0"/>
  </r>
  <r>
    <s v="L0256"/>
    <s v="Kiran"/>
    <n v="34"/>
    <x v="0"/>
    <x v="1"/>
    <x v="254"/>
    <x v="1"/>
    <x v="86"/>
    <x v="0"/>
    <n v="1713943"/>
    <n v="10"/>
    <n v="11.79"/>
    <x v="255"/>
    <x v="3"/>
    <x v="2"/>
    <d v="2023-02-24T00:00:00"/>
    <x v="178"/>
    <x v="0"/>
    <n v="0"/>
  </r>
  <r>
    <s v="L0257"/>
    <s v="Ankit"/>
    <n v="24"/>
    <x v="2"/>
    <x v="0"/>
    <x v="255"/>
    <x v="1"/>
    <x v="209"/>
    <x v="0"/>
    <n v="323224"/>
    <n v="15"/>
    <n v="11.49"/>
    <x v="256"/>
    <x v="2"/>
    <x v="1"/>
    <d v="2022-08-30T00:00:00"/>
    <x v="179"/>
    <x v="1"/>
    <n v="1"/>
  </r>
  <r>
    <s v="L0258"/>
    <s v="Rahul"/>
    <n v="63"/>
    <x v="1"/>
    <x v="0"/>
    <x v="256"/>
    <x v="1"/>
    <x v="210"/>
    <x v="0"/>
    <n v="945479"/>
    <n v="15"/>
    <n v="7.39"/>
    <x v="257"/>
    <x v="1"/>
    <x v="1"/>
    <d v="2022-12-31T00:00:00"/>
    <x v="180"/>
    <x v="0"/>
    <n v="0"/>
  </r>
  <r>
    <s v="L0259"/>
    <s v="Ravi"/>
    <n v="26"/>
    <x v="2"/>
    <x v="1"/>
    <x v="257"/>
    <x v="1"/>
    <x v="112"/>
    <x v="2"/>
    <n v="1761250"/>
    <n v="20"/>
    <n v="12.7"/>
    <x v="258"/>
    <x v="4"/>
    <x v="2"/>
    <d v="2023-05-10T00:00:00"/>
    <x v="181"/>
    <x v="0"/>
    <n v="0"/>
  </r>
  <r>
    <s v="L0260"/>
    <s v="Kiran"/>
    <n v="25"/>
    <x v="2"/>
    <x v="1"/>
    <x v="258"/>
    <x v="2"/>
    <x v="83"/>
    <x v="0"/>
    <n v="1916036"/>
    <n v="15"/>
    <n v="9.4"/>
    <x v="259"/>
    <x v="2"/>
    <x v="3"/>
    <d v="2024-01-28T00:00:00"/>
    <x v="10"/>
    <x v="2"/>
    <n v="0"/>
  </r>
  <r>
    <s v="L0261"/>
    <s v="Sneha"/>
    <n v="49"/>
    <x v="1"/>
    <x v="1"/>
    <x v="259"/>
    <x v="0"/>
    <x v="211"/>
    <x v="2"/>
    <n v="520976"/>
    <n v="5"/>
    <n v="8.4"/>
    <x v="260"/>
    <x v="0"/>
    <x v="0"/>
    <d v="2023-06-24T00:00:00"/>
    <x v="182"/>
    <x v="0"/>
    <n v="0"/>
  </r>
  <r>
    <s v="L0262"/>
    <s v="Ankit"/>
    <n v="43"/>
    <x v="0"/>
    <x v="1"/>
    <x v="260"/>
    <x v="2"/>
    <x v="85"/>
    <x v="1"/>
    <n v="946889"/>
    <n v="5"/>
    <n v="14.78"/>
    <x v="261"/>
    <x v="3"/>
    <x v="0"/>
    <d v="2022-11-03T00:00:00"/>
    <x v="183"/>
    <x v="0"/>
    <n v="0"/>
  </r>
  <r>
    <s v="L0263"/>
    <s v="Ravi"/>
    <n v="49"/>
    <x v="1"/>
    <x v="1"/>
    <x v="261"/>
    <x v="2"/>
    <x v="212"/>
    <x v="0"/>
    <n v="158502"/>
    <n v="10"/>
    <n v="14.3"/>
    <x v="262"/>
    <x v="0"/>
    <x v="1"/>
    <d v="2023-04-08T00:00:00"/>
    <x v="184"/>
    <x v="0"/>
    <n v="0"/>
  </r>
  <r>
    <s v="L0264"/>
    <s v="Pooja"/>
    <n v="44"/>
    <x v="0"/>
    <x v="1"/>
    <x v="262"/>
    <x v="0"/>
    <x v="213"/>
    <x v="0"/>
    <n v="639121"/>
    <n v="10"/>
    <n v="12.71"/>
    <x v="263"/>
    <x v="2"/>
    <x v="3"/>
    <d v="2023-07-18T00:00:00"/>
    <x v="185"/>
    <x v="0"/>
    <n v="0"/>
  </r>
  <r>
    <s v="L0265"/>
    <s v="Ravi"/>
    <n v="33"/>
    <x v="0"/>
    <x v="1"/>
    <x v="263"/>
    <x v="1"/>
    <x v="186"/>
    <x v="1"/>
    <n v="392607"/>
    <n v="5"/>
    <n v="10.69"/>
    <x v="264"/>
    <x v="4"/>
    <x v="0"/>
    <d v="2022-08-01T00:00:00"/>
    <x v="186"/>
    <x v="1"/>
    <n v="1"/>
  </r>
  <r>
    <s v="L0266"/>
    <s v="Ravi"/>
    <n v="23"/>
    <x v="2"/>
    <x v="1"/>
    <x v="264"/>
    <x v="1"/>
    <x v="214"/>
    <x v="2"/>
    <n v="734883"/>
    <n v="20"/>
    <n v="9.42"/>
    <x v="265"/>
    <x v="0"/>
    <x v="0"/>
    <d v="2022-11-11T00:00:00"/>
    <x v="10"/>
    <x v="2"/>
    <n v="0"/>
  </r>
  <r>
    <s v="L0267"/>
    <s v="Pooja"/>
    <n v="21"/>
    <x v="2"/>
    <x v="1"/>
    <x v="265"/>
    <x v="0"/>
    <x v="97"/>
    <x v="0"/>
    <n v="564351"/>
    <n v="5"/>
    <n v="13.42"/>
    <x v="266"/>
    <x v="4"/>
    <x v="3"/>
    <d v="2023-03-10T00:00:00"/>
    <x v="48"/>
    <x v="1"/>
    <n v="1"/>
  </r>
  <r>
    <s v="L0268"/>
    <s v="Rahul"/>
    <n v="53"/>
    <x v="1"/>
    <x v="0"/>
    <x v="266"/>
    <x v="1"/>
    <x v="215"/>
    <x v="2"/>
    <n v="577663"/>
    <n v="10"/>
    <n v="11.65"/>
    <x v="267"/>
    <x v="1"/>
    <x v="2"/>
    <d v="2024-04-28T00:00:00"/>
    <x v="187"/>
    <x v="0"/>
    <n v="0"/>
  </r>
  <r>
    <s v="L0269"/>
    <s v="Neha"/>
    <n v="22"/>
    <x v="2"/>
    <x v="1"/>
    <x v="267"/>
    <x v="2"/>
    <x v="152"/>
    <x v="2"/>
    <n v="1195979"/>
    <n v="20"/>
    <n v="12.61"/>
    <x v="268"/>
    <x v="1"/>
    <x v="3"/>
    <d v="2023-07-25T00:00:00"/>
    <x v="188"/>
    <x v="0"/>
    <n v="0"/>
  </r>
  <r>
    <s v="L0270"/>
    <s v="Ravi"/>
    <n v="21"/>
    <x v="2"/>
    <x v="1"/>
    <x v="268"/>
    <x v="2"/>
    <x v="116"/>
    <x v="2"/>
    <n v="1901354"/>
    <n v="5"/>
    <n v="8.3699999999999992"/>
    <x v="269"/>
    <x v="2"/>
    <x v="1"/>
    <d v="2024-04-08T00:00:00"/>
    <x v="10"/>
    <x v="2"/>
    <n v="0"/>
  </r>
  <r>
    <s v="L0271"/>
    <s v="Suresh"/>
    <n v="58"/>
    <x v="1"/>
    <x v="0"/>
    <x v="269"/>
    <x v="2"/>
    <x v="216"/>
    <x v="0"/>
    <n v="1963173"/>
    <n v="5"/>
    <n v="8.83"/>
    <x v="270"/>
    <x v="2"/>
    <x v="2"/>
    <d v="2024-04-06T00:00:00"/>
    <x v="189"/>
    <x v="1"/>
    <n v="1"/>
  </r>
  <r>
    <s v="L0272"/>
    <s v="Sneha"/>
    <n v="29"/>
    <x v="2"/>
    <x v="1"/>
    <x v="270"/>
    <x v="1"/>
    <x v="145"/>
    <x v="1"/>
    <n v="622728"/>
    <n v="10"/>
    <n v="13.08"/>
    <x v="271"/>
    <x v="0"/>
    <x v="3"/>
    <d v="2022-06-23T00:00:00"/>
    <x v="168"/>
    <x v="0"/>
    <n v="0"/>
  </r>
  <r>
    <s v="L0273"/>
    <s v="Neha"/>
    <n v="39"/>
    <x v="0"/>
    <x v="1"/>
    <x v="271"/>
    <x v="1"/>
    <x v="217"/>
    <x v="0"/>
    <n v="559855"/>
    <n v="15"/>
    <n v="11.85"/>
    <x v="272"/>
    <x v="2"/>
    <x v="1"/>
    <d v="2022-10-06T00:00:00"/>
    <x v="10"/>
    <x v="2"/>
    <n v="0"/>
  </r>
  <r>
    <s v="L0274"/>
    <s v="Priya"/>
    <n v="42"/>
    <x v="0"/>
    <x v="1"/>
    <x v="272"/>
    <x v="1"/>
    <x v="218"/>
    <x v="0"/>
    <n v="591946"/>
    <n v="15"/>
    <n v="10.63"/>
    <x v="273"/>
    <x v="3"/>
    <x v="1"/>
    <d v="2022-05-09T00:00:00"/>
    <x v="10"/>
    <x v="2"/>
    <n v="0"/>
  </r>
  <r>
    <s v="L0275"/>
    <s v="Amit"/>
    <n v="36"/>
    <x v="0"/>
    <x v="0"/>
    <x v="273"/>
    <x v="1"/>
    <x v="69"/>
    <x v="0"/>
    <n v="1613691"/>
    <n v="10"/>
    <n v="9.7200000000000006"/>
    <x v="274"/>
    <x v="0"/>
    <x v="3"/>
    <d v="2022-06-02T00:00:00"/>
    <x v="190"/>
    <x v="0"/>
    <n v="0"/>
  </r>
  <r>
    <s v="L0276"/>
    <s v="Priya"/>
    <n v="65"/>
    <x v="1"/>
    <x v="0"/>
    <x v="274"/>
    <x v="2"/>
    <x v="168"/>
    <x v="0"/>
    <n v="1035077"/>
    <n v="10"/>
    <n v="10.26"/>
    <x v="275"/>
    <x v="3"/>
    <x v="0"/>
    <d v="2024-06-09T00:00:00"/>
    <x v="10"/>
    <x v="2"/>
    <n v="0"/>
  </r>
  <r>
    <s v="L0277"/>
    <s v="Priya"/>
    <n v="31"/>
    <x v="0"/>
    <x v="1"/>
    <x v="275"/>
    <x v="0"/>
    <x v="219"/>
    <x v="0"/>
    <n v="1060267"/>
    <n v="15"/>
    <n v="14.48"/>
    <x v="276"/>
    <x v="4"/>
    <x v="2"/>
    <d v="2022-08-21T00:00:00"/>
    <x v="191"/>
    <x v="1"/>
    <n v="1"/>
  </r>
  <r>
    <s v="L0278"/>
    <s v="Neha"/>
    <n v="41"/>
    <x v="0"/>
    <x v="0"/>
    <x v="276"/>
    <x v="2"/>
    <x v="220"/>
    <x v="0"/>
    <n v="1518848"/>
    <n v="5"/>
    <n v="12.26"/>
    <x v="277"/>
    <x v="0"/>
    <x v="1"/>
    <d v="2022-04-01T00:00:00"/>
    <x v="10"/>
    <x v="2"/>
    <n v="0"/>
  </r>
  <r>
    <s v="L0279"/>
    <s v="Priya"/>
    <n v="62"/>
    <x v="1"/>
    <x v="1"/>
    <x v="277"/>
    <x v="2"/>
    <x v="221"/>
    <x v="0"/>
    <n v="383252"/>
    <n v="20"/>
    <n v="12.96"/>
    <x v="278"/>
    <x v="3"/>
    <x v="0"/>
    <d v="2023-01-29T00:00:00"/>
    <x v="10"/>
    <x v="2"/>
    <n v="0"/>
  </r>
  <r>
    <s v="L0280"/>
    <s v="Suresh"/>
    <n v="27"/>
    <x v="2"/>
    <x v="1"/>
    <x v="278"/>
    <x v="0"/>
    <x v="222"/>
    <x v="1"/>
    <n v="1287478"/>
    <n v="10"/>
    <n v="9.5500000000000007"/>
    <x v="279"/>
    <x v="1"/>
    <x v="0"/>
    <d v="2022-11-07T00:00:00"/>
    <x v="10"/>
    <x v="2"/>
    <n v="0"/>
  </r>
  <r>
    <s v="L0281"/>
    <s v="Amit"/>
    <n v="39"/>
    <x v="0"/>
    <x v="1"/>
    <x v="279"/>
    <x v="2"/>
    <x v="123"/>
    <x v="0"/>
    <n v="541696"/>
    <n v="5"/>
    <n v="8.6199999999999992"/>
    <x v="280"/>
    <x v="2"/>
    <x v="2"/>
    <d v="2022-04-09T00:00:00"/>
    <x v="192"/>
    <x v="1"/>
    <n v="1"/>
  </r>
  <r>
    <s v="L0282"/>
    <s v="Pooja"/>
    <n v="33"/>
    <x v="0"/>
    <x v="0"/>
    <x v="280"/>
    <x v="0"/>
    <x v="223"/>
    <x v="0"/>
    <n v="1740464"/>
    <n v="5"/>
    <n v="11.34"/>
    <x v="281"/>
    <x v="1"/>
    <x v="1"/>
    <d v="2024-01-14T00:00:00"/>
    <x v="10"/>
    <x v="2"/>
    <n v="0"/>
  </r>
  <r>
    <s v="L0283"/>
    <s v="Ravi"/>
    <n v="38"/>
    <x v="0"/>
    <x v="0"/>
    <x v="281"/>
    <x v="1"/>
    <x v="224"/>
    <x v="0"/>
    <n v="301386"/>
    <n v="15"/>
    <n v="7.14"/>
    <x v="282"/>
    <x v="0"/>
    <x v="2"/>
    <d v="2022-12-03T00:00:00"/>
    <x v="10"/>
    <x v="2"/>
    <n v="0"/>
  </r>
  <r>
    <s v="L0284"/>
    <s v="Rahul"/>
    <n v="40"/>
    <x v="0"/>
    <x v="0"/>
    <x v="282"/>
    <x v="1"/>
    <x v="28"/>
    <x v="2"/>
    <n v="1441019"/>
    <n v="5"/>
    <n v="8.35"/>
    <x v="283"/>
    <x v="3"/>
    <x v="0"/>
    <d v="2022-08-23T00:00:00"/>
    <x v="140"/>
    <x v="0"/>
    <n v="0"/>
  </r>
  <r>
    <s v="L0285"/>
    <s v="Amit"/>
    <n v="36"/>
    <x v="0"/>
    <x v="0"/>
    <x v="283"/>
    <x v="1"/>
    <x v="225"/>
    <x v="2"/>
    <n v="712386"/>
    <n v="15"/>
    <n v="8.31"/>
    <x v="284"/>
    <x v="1"/>
    <x v="2"/>
    <d v="2023-03-19T00:00:00"/>
    <x v="10"/>
    <x v="2"/>
    <n v="0"/>
  </r>
  <r>
    <s v="L0286"/>
    <s v="Sneha"/>
    <n v="50"/>
    <x v="1"/>
    <x v="0"/>
    <x v="284"/>
    <x v="0"/>
    <x v="71"/>
    <x v="2"/>
    <n v="1981474"/>
    <n v="5"/>
    <n v="12.81"/>
    <x v="285"/>
    <x v="1"/>
    <x v="3"/>
    <d v="2023-07-15T00:00:00"/>
    <x v="193"/>
    <x v="0"/>
    <n v="0"/>
  </r>
  <r>
    <s v="L0287"/>
    <s v="Pooja"/>
    <n v="53"/>
    <x v="1"/>
    <x v="1"/>
    <x v="285"/>
    <x v="0"/>
    <x v="226"/>
    <x v="2"/>
    <n v="143846"/>
    <n v="5"/>
    <n v="7.08"/>
    <x v="286"/>
    <x v="2"/>
    <x v="0"/>
    <d v="2022-12-01T00:00:00"/>
    <x v="10"/>
    <x v="2"/>
    <n v="0"/>
  </r>
  <r>
    <s v="L0288"/>
    <s v="Neha"/>
    <n v="36"/>
    <x v="0"/>
    <x v="1"/>
    <x v="286"/>
    <x v="0"/>
    <x v="227"/>
    <x v="0"/>
    <n v="902671"/>
    <n v="10"/>
    <n v="8.74"/>
    <x v="287"/>
    <x v="4"/>
    <x v="2"/>
    <d v="2022-07-01T00:00:00"/>
    <x v="194"/>
    <x v="0"/>
    <n v="0"/>
  </r>
  <r>
    <s v="L0289"/>
    <s v="Ravi"/>
    <n v="50"/>
    <x v="1"/>
    <x v="0"/>
    <x v="287"/>
    <x v="0"/>
    <x v="161"/>
    <x v="1"/>
    <n v="1279415"/>
    <n v="5"/>
    <n v="12.15"/>
    <x v="288"/>
    <x v="2"/>
    <x v="0"/>
    <d v="2023-03-19T00:00:00"/>
    <x v="17"/>
    <x v="1"/>
    <n v="1"/>
  </r>
  <r>
    <s v="L0290"/>
    <s v="Suresh"/>
    <n v="36"/>
    <x v="0"/>
    <x v="1"/>
    <x v="288"/>
    <x v="1"/>
    <x v="228"/>
    <x v="2"/>
    <n v="1406254"/>
    <n v="10"/>
    <n v="8.65"/>
    <x v="289"/>
    <x v="1"/>
    <x v="2"/>
    <d v="2023-10-12T00:00:00"/>
    <x v="10"/>
    <x v="2"/>
    <n v="0"/>
  </r>
  <r>
    <s v="L0291"/>
    <s v="Ankit"/>
    <n v="53"/>
    <x v="1"/>
    <x v="1"/>
    <x v="289"/>
    <x v="1"/>
    <x v="229"/>
    <x v="1"/>
    <n v="1749586"/>
    <n v="10"/>
    <n v="13.48"/>
    <x v="290"/>
    <x v="3"/>
    <x v="1"/>
    <d v="2023-09-26T00:00:00"/>
    <x v="10"/>
    <x v="2"/>
    <n v="0"/>
  </r>
  <r>
    <s v="L0292"/>
    <s v="Neha"/>
    <n v="60"/>
    <x v="1"/>
    <x v="0"/>
    <x v="290"/>
    <x v="2"/>
    <x v="230"/>
    <x v="0"/>
    <n v="100247"/>
    <n v="20"/>
    <n v="13.15"/>
    <x v="291"/>
    <x v="2"/>
    <x v="2"/>
    <d v="2022-03-19T00:00:00"/>
    <x v="10"/>
    <x v="2"/>
    <n v="0"/>
  </r>
  <r>
    <s v="L0293"/>
    <s v="Amit"/>
    <n v="32"/>
    <x v="0"/>
    <x v="1"/>
    <x v="291"/>
    <x v="2"/>
    <x v="82"/>
    <x v="0"/>
    <n v="1977429"/>
    <n v="15"/>
    <n v="11.9"/>
    <x v="292"/>
    <x v="4"/>
    <x v="3"/>
    <d v="2024-05-14T00:00:00"/>
    <x v="10"/>
    <x v="2"/>
    <n v="0"/>
  </r>
  <r>
    <s v="L0294"/>
    <s v="Neha"/>
    <n v="30"/>
    <x v="0"/>
    <x v="0"/>
    <x v="292"/>
    <x v="2"/>
    <x v="231"/>
    <x v="0"/>
    <n v="947448"/>
    <n v="20"/>
    <n v="13.74"/>
    <x v="293"/>
    <x v="4"/>
    <x v="2"/>
    <d v="2023-02-03T00:00:00"/>
    <x v="126"/>
    <x v="0"/>
    <n v="0"/>
  </r>
  <r>
    <s v="L0295"/>
    <s v="Sneha"/>
    <n v="25"/>
    <x v="2"/>
    <x v="1"/>
    <x v="293"/>
    <x v="1"/>
    <x v="228"/>
    <x v="2"/>
    <n v="918084"/>
    <n v="15"/>
    <n v="9.7200000000000006"/>
    <x v="294"/>
    <x v="4"/>
    <x v="3"/>
    <d v="2023-06-13T00:00:00"/>
    <x v="195"/>
    <x v="1"/>
    <n v="1"/>
  </r>
  <r>
    <s v="L0296"/>
    <s v="Amit"/>
    <n v="51"/>
    <x v="1"/>
    <x v="1"/>
    <x v="294"/>
    <x v="2"/>
    <x v="232"/>
    <x v="0"/>
    <n v="997720"/>
    <n v="10"/>
    <n v="12.99"/>
    <x v="295"/>
    <x v="4"/>
    <x v="1"/>
    <d v="2023-05-28T00:00:00"/>
    <x v="196"/>
    <x v="0"/>
    <n v="0"/>
  </r>
  <r>
    <s v="L0297"/>
    <s v="Suresh"/>
    <n v="28"/>
    <x v="2"/>
    <x v="0"/>
    <x v="295"/>
    <x v="2"/>
    <x v="110"/>
    <x v="0"/>
    <n v="1895323"/>
    <n v="20"/>
    <n v="7.89"/>
    <x v="296"/>
    <x v="2"/>
    <x v="1"/>
    <d v="2022-06-17T00:00:00"/>
    <x v="197"/>
    <x v="0"/>
    <n v="0"/>
  </r>
  <r>
    <s v="L0298"/>
    <s v="Suresh"/>
    <n v="41"/>
    <x v="0"/>
    <x v="0"/>
    <x v="296"/>
    <x v="2"/>
    <x v="233"/>
    <x v="0"/>
    <n v="1783099"/>
    <n v="10"/>
    <n v="12.11"/>
    <x v="297"/>
    <x v="4"/>
    <x v="1"/>
    <d v="2022-11-07T00:00:00"/>
    <x v="198"/>
    <x v="0"/>
    <n v="0"/>
  </r>
  <r>
    <s v="L0299"/>
    <s v="Sneha"/>
    <n v="55"/>
    <x v="1"/>
    <x v="1"/>
    <x v="297"/>
    <x v="0"/>
    <x v="153"/>
    <x v="0"/>
    <n v="119222"/>
    <n v="20"/>
    <n v="13.28"/>
    <x v="298"/>
    <x v="4"/>
    <x v="3"/>
    <d v="2022-05-30T00:00:00"/>
    <x v="199"/>
    <x v="1"/>
    <n v="1"/>
  </r>
  <r>
    <s v="L0300"/>
    <s v="Suresh"/>
    <n v="35"/>
    <x v="0"/>
    <x v="1"/>
    <x v="298"/>
    <x v="0"/>
    <x v="234"/>
    <x v="0"/>
    <n v="1608008"/>
    <n v="15"/>
    <n v="11.61"/>
    <x v="299"/>
    <x v="4"/>
    <x v="1"/>
    <d v="2023-05-13T00:00:00"/>
    <x v="200"/>
    <x v="0"/>
    <n v="0"/>
  </r>
  <r>
    <s v="L0301"/>
    <s v="Neha"/>
    <n v="49"/>
    <x v="1"/>
    <x v="1"/>
    <x v="299"/>
    <x v="0"/>
    <x v="80"/>
    <x v="1"/>
    <n v="777623"/>
    <n v="15"/>
    <n v="10.29"/>
    <x v="300"/>
    <x v="2"/>
    <x v="0"/>
    <d v="2023-10-22T00:00:00"/>
    <x v="10"/>
    <x v="2"/>
    <n v="0"/>
  </r>
  <r>
    <s v="L0302"/>
    <s v="Ravi"/>
    <n v="40"/>
    <x v="0"/>
    <x v="0"/>
    <x v="300"/>
    <x v="0"/>
    <x v="235"/>
    <x v="1"/>
    <n v="127966"/>
    <n v="15"/>
    <n v="8.08"/>
    <x v="301"/>
    <x v="3"/>
    <x v="0"/>
    <d v="2023-05-22T00:00:00"/>
    <x v="201"/>
    <x v="1"/>
    <n v="1"/>
  </r>
  <r>
    <s v="L0303"/>
    <s v="Rahul"/>
    <n v="55"/>
    <x v="1"/>
    <x v="1"/>
    <x v="301"/>
    <x v="1"/>
    <x v="236"/>
    <x v="1"/>
    <n v="1331370"/>
    <n v="5"/>
    <n v="12.98"/>
    <x v="302"/>
    <x v="2"/>
    <x v="0"/>
    <d v="2022-11-06T00:00:00"/>
    <x v="10"/>
    <x v="2"/>
    <n v="0"/>
  </r>
  <r>
    <s v="L0304"/>
    <s v="Neha"/>
    <n v="58"/>
    <x v="1"/>
    <x v="0"/>
    <x v="302"/>
    <x v="1"/>
    <x v="237"/>
    <x v="2"/>
    <n v="857165"/>
    <n v="15"/>
    <n v="8.34"/>
    <x v="303"/>
    <x v="3"/>
    <x v="3"/>
    <d v="2024-06-10T00:00:00"/>
    <x v="10"/>
    <x v="2"/>
    <n v="0"/>
  </r>
  <r>
    <s v="L0305"/>
    <s v="Suresh"/>
    <n v="57"/>
    <x v="1"/>
    <x v="1"/>
    <x v="303"/>
    <x v="0"/>
    <x v="238"/>
    <x v="2"/>
    <n v="1325635"/>
    <n v="15"/>
    <n v="14.3"/>
    <x v="304"/>
    <x v="4"/>
    <x v="1"/>
    <d v="2022-09-10T00:00:00"/>
    <x v="202"/>
    <x v="0"/>
    <n v="0"/>
  </r>
  <r>
    <s v="L0306"/>
    <s v="Rahul"/>
    <n v="39"/>
    <x v="0"/>
    <x v="0"/>
    <x v="304"/>
    <x v="1"/>
    <x v="239"/>
    <x v="2"/>
    <n v="933289"/>
    <n v="5"/>
    <n v="14.79"/>
    <x v="305"/>
    <x v="3"/>
    <x v="3"/>
    <d v="2022-11-18T00:00:00"/>
    <x v="183"/>
    <x v="0"/>
    <n v="0"/>
  </r>
  <r>
    <s v="L0307"/>
    <s v="Pooja"/>
    <n v="51"/>
    <x v="1"/>
    <x v="0"/>
    <x v="305"/>
    <x v="0"/>
    <x v="240"/>
    <x v="0"/>
    <n v="875032"/>
    <n v="20"/>
    <n v="11.47"/>
    <x v="306"/>
    <x v="2"/>
    <x v="3"/>
    <d v="2022-08-28T00:00:00"/>
    <x v="203"/>
    <x v="1"/>
    <n v="1"/>
  </r>
  <r>
    <s v="L0308"/>
    <s v="Amit"/>
    <n v="29"/>
    <x v="2"/>
    <x v="1"/>
    <x v="306"/>
    <x v="0"/>
    <x v="174"/>
    <x v="1"/>
    <n v="1771280"/>
    <n v="15"/>
    <n v="14.11"/>
    <x v="307"/>
    <x v="0"/>
    <x v="0"/>
    <d v="2022-03-27T00:00:00"/>
    <x v="204"/>
    <x v="0"/>
    <n v="0"/>
  </r>
  <r>
    <s v="L0309"/>
    <s v="Ravi"/>
    <n v="54"/>
    <x v="1"/>
    <x v="0"/>
    <x v="307"/>
    <x v="0"/>
    <x v="194"/>
    <x v="1"/>
    <n v="1305541"/>
    <n v="10"/>
    <n v="7.66"/>
    <x v="308"/>
    <x v="3"/>
    <x v="0"/>
    <d v="2024-02-06T00:00:00"/>
    <x v="205"/>
    <x v="1"/>
    <n v="1"/>
  </r>
  <r>
    <s v="L0310"/>
    <s v="Ravi"/>
    <n v="55"/>
    <x v="1"/>
    <x v="0"/>
    <x v="308"/>
    <x v="2"/>
    <x v="235"/>
    <x v="1"/>
    <n v="1120994"/>
    <n v="15"/>
    <n v="9.1"/>
    <x v="309"/>
    <x v="4"/>
    <x v="3"/>
    <d v="2022-07-01T00:00:00"/>
    <x v="206"/>
    <x v="0"/>
    <n v="0"/>
  </r>
  <r>
    <s v="L0311"/>
    <s v="Amit"/>
    <n v="30"/>
    <x v="0"/>
    <x v="0"/>
    <x v="309"/>
    <x v="1"/>
    <x v="241"/>
    <x v="0"/>
    <n v="1275798"/>
    <n v="5"/>
    <n v="13.44"/>
    <x v="310"/>
    <x v="2"/>
    <x v="0"/>
    <d v="2024-03-16T00:00:00"/>
    <x v="10"/>
    <x v="2"/>
    <n v="0"/>
  </r>
  <r>
    <s v="L0312"/>
    <s v="Pooja"/>
    <n v="46"/>
    <x v="1"/>
    <x v="0"/>
    <x v="310"/>
    <x v="2"/>
    <x v="242"/>
    <x v="2"/>
    <n v="1011334"/>
    <n v="5"/>
    <n v="8.9600000000000009"/>
    <x v="311"/>
    <x v="1"/>
    <x v="3"/>
    <d v="2022-08-25T00:00:00"/>
    <x v="207"/>
    <x v="0"/>
    <n v="0"/>
  </r>
  <r>
    <s v="L0313"/>
    <s v="Sneha"/>
    <n v="64"/>
    <x v="1"/>
    <x v="0"/>
    <x v="311"/>
    <x v="2"/>
    <x v="243"/>
    <x v="2"/>
    <n v="960628"/>
    <n v="20"/>
    <n v="14.5"/>
    <x v="312"/>
    <x v="4"/>
    <x v="3"/>
    <d v="2024-04-18T00:00:00"/>
    <x v="208"/>
    <x v="0"/>
    <n v="0"/>
  </r>
  <r>
    <s v="L0314"/>
    <s v="Priya"/>
    <n v="37"/>
    <x v="0"/>
    <x v="0"/>
    <x v="312"/>
    <x v="2"/>
    <x v="157"/>
    <x v="1"/>
    <n v="264797"/>
    <n v="5"/>
    <n v="8.0399999999999991"/>
    <x v="313"/>
    <x v="3"/>
    <x v="3"/>
    <d v="2022-07-11T00:00:00"/>
    <x v="209"/>
    <x v="0"/>
    <n v="0"/>
  </r>
  <r>
    <s v="L0315"/>
    <s v="Neha"/>
    <n v="42"/>
    <x v="0"/>
    <x v="0"/>
    <x v="313"/>
    <x v="0"/>
    <x v="1"/>
    <x v="1"/>
    <n v="1968233"/>
    <n v="10"/>
    <n v="11.37"/>
    <x v="314"/>
    <x v="3"/>
    <x v="2"/>
    <d v="2022-08-25T00:00:00"/>
    <x v="191"/>
    <x v="0"/>
    <n v="0"/>
  </r>
  <r>
    <s v="L0316"/>
    <s v="Kiran"/>
    <n v="42"/>
    <x v="0"/>
    <x v="1"/>
    <x v="314"/>
    <x v="2"/>
    <x v="244"/>
    <x v="1"/>
    <n v="1935928"/>
    <n v="15"/>
    <n v="8.7100000000000009"/>
    <x v="315"/>
    <x v="2"/>
    <x v="1"/>
    <d v="2023-12-13T00:00:00"/>
    <x v="10"/>
    <x v="2"/>
    <n v="0"/>
  </r>
  <r>
    <s v="L0317"/>
    <s v="Pooja"/>
    <n v="60"/>
    <x v="1"/>
    <x v="0"/>
    <x v="315"/>
    <x v="0"/>
    <x v="213"/>
    <x v="0"/>
    <n v="1030653"/>
    <n v="10"/>
    <n v="14.66"/>
    <x v="316"/>
    <x v="3"/>
    <x v="3"/>
    <d v="2023-02-11T00:00:00"/>
    <x v="210"/>
    <x v="1"/>
    <n v="1"/>
  </r>
  <r>
    <s v="L0318"/>
    <s v="Suresh"/>
    <n v="33"/>
    <x v="0"/>
    <x v="0"/>
    <x v="316"/>
    <x v="2"/>
    <x v="245"/>
    <x v="1"/>
    <n v="1880570"/>
    <n v="15"/>
    <n v="13.49"/>
    <x v="317"/>
    <x v="4"/>
    <x v="0"/>
    <d v="2024-01-14T00:00:00"/>
    <x v="211"/>
    <x v="0"/>
    <n v="0"/>
  </r>
  <r>
    <s v="L0319"/>
    <s v="Ravi"/>
    <n v="39"/>
    <x v="0"/>
    <x v="1"/>
    <x v="317"/>
    <x v="2"/>
    <x v="246"/>
    <x v="1"/>
    <n v="475385"/>
    <n v="15"/>
    <n v="14.45"/>
    <x v="318"/>
    <x v="1"/>
    <x v="3"/>
    <d v="2023-04-20T00:00:00"/>
    <x v="212"/>
    <x v="0"/>
    <n v="0"/>
  </r>
  <r>
    <s v="L0320"/>
    <s v="Rahul"/>
    <n v="60"/>
    <x v="1"/>
    <x v="0"/>
    <x v="318"/>
    <x v="0"/>
    <x v="247"/>
    <x v="0"/>
    <n v="441522"/>
    <n v="15"/>
    <n v="7.81"/>
    <x v="319"/>
    <x v="2"/>
    <x v="0"/>
    <d v="2022-04-18T00:00:00"/>
    <x v="213"/>
    <x v="0"/>
    <n v="0"/>
  </r>
  <r>
    <s v="L0321"/>
    <s v="Amit"/>
    <n v="56"/>
    <x v="1"/>
    <x v="0"/>
    <x v="319"/>
    <x v="2"/>
    <x v="248"/>
    <x v="0"/>
    <n v="1186756"/>
    <n v="5"/>
    <n v="12.89"/>
    <x v="320"/>
    <x v="3"/>
    <x v="3"/>
    <d v="2024-04-10T00:00:00"/>
    <x v="214"/>
    <x v="0"/>
    <n v="0"/>
  </r>
  <r>
    <s v="L0322"/>
    <s v="Neha"/>
    <n v="39"/>
    <x v="0"/>
    <x v="0"/>
    <x v="320"/>
    <x v="2"/>
    <x v="146"/>
    <x v="2"/>
    <n v="112760"/>
    <n v="10"/>
    <n v="9.15"/>
    <x v="321"/>
    <x v="0"/>
    <x v="3"/>
    <d v="2023-07-19T00:00:00"/>
    <x v="10"/>
    <x v="2"/>
    <n v="0"/>
  </r>
  <r>
    <s v="L0323"/>
    <s v="Amit"/>
    <n v="48"/>
    <x v="1"/>
    <x v="0"/>
    <x v="321"/>
    <x v="1"/>
    <x v="44"/>
    <x v="1"/>
    <n v="1038005"/>
    <n v="5"/>
    <n v="12.44"/>
    <x v="322"/>
    <x v="0"/>
    <x v="0"/>
    <d v="2022-08-22T00:00:00"/>
    <x v="10"/>
    <x v="2"/>
    <n v="0"/>
  </r>
  <r>
    <s v="L0324"/>
    <s v="Priya"/>
    <n v="33"/>
    <x v="0"/>
    <x v="0"/>
    <x v="322"/>
    <x v="1"/>
    <x v="160"/>
    <x v="1"/>
    <n v="183681"/>
    <n v="20"/>
    <n v="11.68"/>
    <x v="323"/>
    <x v="0"/>
    <x v="3"/>
    <d v="2022-05-17T00:00:00"/>
    <x v="215"/>
    <x v="0"/>
    <n v="0"/>
  </r>
  <r>
    <s v="L0325"/>
    <s v="Rahul"/>
    <n v="21"/>
    <x v="2"/>
    <x v="1"/>
    <x v="323"/>
    <x v="0"/>
    <x v="249"/>
    <x v="1"/>
    <n v="1121779"/>
    <n v="10"/>
    <n v="12.91"/>
    <x v="324"/>
    <x v="3"/>
    <x v="2"/>
    <d v="2022-07-06T00:00:00"/>
    <x v="10"/>
    <x v="2"/>
    <n v="0"/>
  </r>
  <r>
    <s v="L0326"/>
    <s v="Pooja"/>
    <n v="21"/>
    <x v="2"/>
    <x v="1"/>
    <x v="324"/>
    <x v="2"/>
    <x v="250"/>
    <x v="2"/>
    <n v="704867"/>
    <n v="5"/>
    <n v="12.27"/>
    <x v="325"/>
    <x v="3"/>
    <x v="0"/>
    <d v="2023-12-25T00:00:00"/>
    <x v="216"/>
    <x v="0"/>
    <n v="0"/>
  </r>
  <r>
    <s v="L0327"/>
    <s v="Rahul"/>
    <n v="51"/>
    <x v="1"/>
    <x v="1"/>
    <x v="325"/>
    <x v="0"/>
    <x v="251"/>
    <x v="2"/>
    <n v="870824"/>
    <n v="10"/>
    <n v="10.85"/>
    <x v="326"/>
    <x v="1"/>
    <x v="3"/>
    <d v="2024-06-15T00:00:00"/>
    <x v="104"/>
    <x v="0"/>
    <n v="0"/>
  </r>
  <r>
    <s v="L0328"/>
    <s v="Sneha"/>
    <n v="43"/>
    <x v="0"/>
    <x v="0"/>
    <x v="326"/>
    <x v="2"/>
    <x v="252"/>
    <x v="0"/>
    <n v="1215112"/>
    <n v="20"/>
    <n v="9.48"/>
    <x v="327"/>
    <x v="3"/>
    <x v="3"/>
    <d v="2022-02-23T00:00:00"/>
    <x v="217"/>
    <x v="1"/>
    <n v="1"/>
  </r>
  <r>
    <s v="L0329"/>
    <s v="Sneha"/>
    <n v="59"/>
    <x v="1"/>
    <x v="1"/>
    <x v="327"/>
    <x v="1"/>
    <x v="16"/>
    <x v="2"/>
    <n v="909490"/>
    <n v="10"/>
    <n v="14.03"/>
    <x v="328"/>
    <x v="2"/>
    <x v="3"/>
    <d v="2023-11-08T00:00:00"/>
    <x v="218"/>
    <x v="1"/>
    <n v="1"/>
  </r>
  <r>
    <s v="L0330"/>
    <s v="Priya"/>
    <n v="57"/>
    <x v="1"/>
    <x v="0"/>
    <x v="328"/>
    <x v="0"/>
    <x v="253"/>
    <x v="0"/>
    <n v="797815"/>
    <n v="10"/>
    <n v="11.19"/>
    <x v="329"/>
    <x v="0"/>
    <x v="3"/>
    <d v="2023-01-30T00:00:00"/>
    <x v="219"/>
    <x v="0"/>
    <n v="0"/>
  </r>
  <r>
    <s v="L0331"/>
    <s v="Neha"/>
    <n v="54"/>
    <x v="1"/>
    <x v="1"/>
    <x v="329"/>
    <x v="2"/>
    <x v="254"/>
    <x v="1"/>
    <n v="1060021"/>
    <n v="20"/>
    <n v="10.32"/>
    <x v="330"/>
    <x v="0"/>
    <x v="1"/>
    <d v="2024-01-12T00:00:00"/>
    <x v="55"/>
    <x v="0"/>
    <n v="0"/>
  </r>
  <r>
    <s v="L0332"/>
    <s v="Priya"/>
    <n v="62"/>
    <x v="1"/>
    <x v="0"/>
    <x v="330"/>
    <x v="1"/>
    <x v="255"/>
    <x v="0"/>
    <n v="1762096"/>
    <n v="15"/>
    <n v="14.42"/>
    <x v="331"/>
    <x v="0"/>
    <x v="2"/>
    <d v="2023-04-21T00:00:00"/>
    <x v="10"/>
    <x v="2"/>
    <n v="0"/>
  </r>
  <r>
    <s v="L0333"/>
    <s v="Ankit"/>
    <n v="65"/>
    <x v="1"/>
    <x v="1"/>
    <x v="331"/>
    <x v="2"/>
    <x v="256"/>
    <x v="0"/>
    <n v="870796"/>
    <n v="20"/>
    <n v="7.37"/>
    <x v="332"/>
    <x v="3"/>
    <x v="1"/>
    <d v="2022-09-29T00:00:00"/>
    <x v="220"/>
    <x v="1"/>
    <n v="1"/>
  </r>
  <r>
    <s v="L0334"/>
    <s v="Priya"/>
    <n v="39"/>
    <x v="0"/>
    <x v="0"/>
    <x v="332"/>
    <x v="1"/>
    <x v="257"/>
    <x v="2"/>
    <n v="1123963"/>
    <n v="10"/>
    <n v="13.09"/>
    <x v="333"/>
    <x v="0"/>
    <x v="3"/>
    <d v="2023-05-17T00:00:00"/>
    <x v="10"/>
    <x v="2"/>
    <n v="0"/>
  </r>
  <r>
    <s v="L0335"/>
    <s v="Suresh"/>
    <n v="37"/>
    <x v="0"/>
    <x v="0"/>
    <x v="333"/>
    <x v="1"/>
    <x v="238"/>
    <x v="2"/>
    <n v="527063"/>
    <n v="15"/>
    <n v="7.74"/>
    <x v="334"/>
    <x v="4"/>
    <x v="3"/>
    <d v="2022-10-04T00:00:00"/>
    <x v="221"/>
    <x v="1"/>
    <n v="1"/>
  </r>
  <r>
    <s v="L0336"/>
    <s v="Ankit"/>
    <n v="61"/>
    <x v="1"/>
    <x v="0"/>
    <x v="334"/>
    <x v="1"/>
    <x v="119"/>
    <x v="2"/>
    <n v="1671201"/>
    <n v="10"/>
    <n v="8.2200000000000006"/>
    <x v="335"/>
    <x v="1"/>
    <x v="2"/>
    <d v="2023-09-15T00:00:00"/>
    <x v="222"/>
    <x v="0"/>
    <n v="0"/>
  </r>
  <r>
    <s v="L0337"/>
    <s v="Amit"/>
    <n v="53"/>
    <x v="1"/>
    <x v="0"/>
    <x v="335"/>
    <x v="1"/>
    <x v="170"/>
    <x v="2"/>
    <n v="1826278"/>
    <n v="10"/>
    <n v="8.7799999999999994"/>
    <x v="336"/>
    <x v="3"/>
    <x v="3"/>
    <d v="2023-03-07T00:00:00"/>
    <x v="10"/>
    <x v="2"/>
    <n v="0"/>
  </r>
  <r>
    <s v="L0338"/>
    <s v="Ankit"/>
    <n v="63"/>
    <x v="1"/>
    <x v="0"/>
    <x v="336"/>
    <x v="2"/>
    <x v="181"/>
    <x v="2"/>
    <n v="339022"/>
    <n v="15"/>
    <n v="11.87"/>
    <x v="337"/>
    <x v="2"/>
    <x v="3"/>
    <d v="2022-10-17T00:00:00"/>
    <x v="10"/>
    <x v="2"/>
    <n v="0"/>
  </r>
  <r>
    <s v="L0339"/>
    <s v="Pooja"/>
    <n v="52"/>
    <x v="1"/>
    <x v="1"/>
    <x v="337"/>
    <x v="2"/>
    <x v="191"/>
    <x v="0"/>
    <n v="851130"/>
    <n v="20"/>
    <n v="8.9"/>
    <x v="338"/>
    <x v="4"/>
    <x v="3"/>
    <d v="2023-03-08T00:00:00"/>
    <x v="223"/>
    <x v="0"/>
    <n v="0"/>
  </r>
  <r>
    <s v="L0340"/>
    <s v="Ankit"/>
    <n v="47"/>
    <x v="1"/>
    <x v="0"/>
    <x v="338"/>
    <x v="1"/>
    <x v="81"/>
    <x v="1"/>
    <n v="1253816"/>
    <n v="20"/>
    <n v="11.17"/>
    <x v="339"/>
    <x v="2"/>
    <x v="0"/>
    <d v="2022-10-01T00:00:00"/>
    <x v="224"/>
    <x v="0"/>
    <n v="0"/>
  </r>
  <r>
    <s v="L0341"/>
    <s v="Neha"/>
    <n v="50"/>
    <x v="1"/>
    <x v="0"/>
    <x v="339"/>
    <x v="0"/>
    <x v="258"/>
    <x v="0"/>
    <n v="1171177"/>
    <n v="15"/>
    <n v="11.37"/>
    <x v="340"/>
    <x v="3"/>
    <x v="3"/>
    <d v="2022-04-29T00:00:00"/>
    <x v="225"/>
    <x v="0"/>
    <n v="0"/>
  </r>
  <r>
    <s v="L0342"/>
    <s v="Pooja"/>
    <n v="30"/>
    <x v="0"/>
    <x v="1"/>
    <x v="340"/>
    <x v="2"/>
    <x v="27"/>
    <x v="2"/>
    <n v="876963"/>
    <n v="15"/>
    <n v="9.6199999999999992"/>
    <x v="341"/>
    <x v="1"/>
    <x v="2"/>
    <d v="2023-05-20T00:00:00"/>
    <x v="10"/>
    <x v="2"/>
    <n v="0"/>
  </r>
  <r>
    <s v="L0343"/>
    <s v="Priya"/>
    <n v="44"/>
    <x v="0"/>
    <x v="1"/>
    <x v="341"/>
    <x v="1"/>
    <x v="2"/>
    <x v="1"/>
    <n v="1475581"/>
    <n v="5"/>
    <n v="10.94"/>
    <x v="342"/>
    <x v="0"/>
    <x v="0"/>
    <d v="2023-06-15T00:00:00"/>
    <x v="226"/>
    <x v="0"/>
    <n v="0"/>
  </r>
  <r>
    <s v="L0344"/>
    <s v="Ravi"/>
    <n v="30"/>
    <x v="0"/>
    <x v="1"/>
    <x v="342"/>
    <x v="2"/>
    <x v="259"/>
    <x v="0"/>
    <n v="1260210"/>
    <n v="20"/>
    <n v="7.65"/>
    <x v="343"/>
    <x v="4"/>
    <x v="3"/>
    <d v="2022-01-03T00:00:00"/>
    <x v="227"/>
    <x v="0"/>
    <n v="0"/>
  </r>
  <r>
    <s v="L0345"/>
    <s v="Suresh"/>
    <n v="58"/>
    <x v="1"/>
    <x v="1"/>
    <x v="343"/>
    <x v="0"/>
    <x v="260"/>
    <x v="0"/>
    <n v="1424157"/>
    <n v="5"/>
    <n v="8.7799999999999994"/>
    <x v="344"/>
    <x v="2"/>
    <x v="3"/>
    <d v="2022-03-20T00:00:00"/>
    <x v="228"/>
    <x v="0"/>
    <n v="0"/>
  </r>
  <r>
    <s v="L0346"/>
    <s v="Ankit"/>
    <n v="39"/>
    <x v="0"/>
    <x v="1"/>
    <x v="233"/>
    <x v="1"/>
    <x v="45"/>
    <x v="0"/>
    <n v="531106"/>
    <n v="5"/>
    <n v="10.15"/>
    <x v="345"/>
    <x v="2"/>
    <x v="0"/>
    <d v="2022-02-10T00:00:00"/>
    <x v="229"/>
    <x v="1"/>
    <n v="1"/>
  </r>
  <r>
    <s v="L0347"/>
    <s v="Rahul"/>
    <n v="46"/>
    <x v="1"/>
    <x v="1"/>
    <x v="344"/>
    <x v="0"/>
    <x v="236"/>
    <x v="1"/>
    <n v="768796"/>
    <n v="20"/>
    <n v="8.2200000000000006"/>
    <x v="346"/>
    <x v="2"/>
    <x v="3"/>
    <d v="2023-07-22T00:00:00"/>
    <x v="152"/>
    <x v="0"/>
    <n v="0"/>
  </r>
  <r>
    <s v="L0348"/>
    <s v="Ankit"/>
    <n v="49"/>
    <x v="1"/>
    <x v="0"/>
    <x v="345"/>
    <x v="0"/>
    <x v="261"/>
    <x v="0"/>
    <n v="486839"/>
    <n v="5"/>
    <n v="14.61"/>
    <x v="347"/>
    <x v="2"/>
    <x v="3"/>
    <d v="2023-07-30T00:00:00"/>
    <x v="10"/>
    <x v="2"/>
    <n v="0"/>
  </r>
  <r>
    <s v="L0349"/>
    <s v="Amit"/>
    <n v="52"/>
    <x v="1"/>
    <x v="0"/>
    <x v="346"/>
    <x v="2"/>
    <x v="262"/>
    <x v="0"/>
    <n v="1267124"/>
    <n v="15"/>
    <n v="14.8"/>
    <x v="348"/>
    <x v="3"/>
    <x v="1"/>
    <d v="2022-09-08T00:00:00"/>
    <x v="230"/>
    <x v="0"/>
    <n v="0"/>
  </r>
  <r>
    <s v="L0350"/>
    <s v="Pooja"/>
    <n v="64"/>
    <x v="1"/>
    <x v="1"/>
    <x v="347"/>
    <x v="0"/>
    <x v="221"/>
    <x v="0"/>
    <n v="1160482"/>
    <n v="15"/>
    <n v="10.46"/>
    <x v="349"/>
    <x v="0"/>
    <x v="3"/>
    <d v="2022-09-16T00:00:00"/>
    <x v="10"/>
    <x v="2"/>
    <n v="0"/>
  </r>
  <r>
    <s v="L0351"/>
    <s v="Pooja"/>
    <n v="24"/>
    <x v="2"/>
    <x v="0"/>
    <x v="348"/>
    <x v="2"/>
    <x v="263"/>
    <x v="1"/>
    <n v="328232"/>
    <n v="20"/>
    <n v="11.92"/>
    <x v="350"/>
    <x v="2"/>
    <x v="0"/>
    <d v="2022-07-08T00:00:00"/>
    <x v="10"/>
    <x v="2"/>
    <n v="0"/>
  </r>
  <r>
    <s v="L0352"/>
    <s v="Pooja"/>
    <n v="37"/>
    <x v="0"/>
    <x v="1"/>
    <x v="349"/>
    <x v="1"/>
    <x v="220"/>
    <x v="0"/>
    <n v="1552975"/>
    <n v="5"/>
    <n v="9.49"/>
    <x v="351"/>
    <x v="2"/>
    <x v="0"/>
    <d v="2023-11-21T00:00:00"/>
    <x v="231"/>
    <x v="0"/>
    <n v="0"/>
  </r>
  <r>
    <s v="L0353"/>
    <s v="Ankit"/>
    <n v="40"/>
    <x v="0"/>
    <x v="0"/>
    <x v="350"/>
    <x v="1"/>
    <x v="131"/>
    <x v="0"/>
    <n v="1371316"/>
    <n v="10"/>
    <n v="11.33"/>
    <x v="352"/>
    <x v="3"/>
    <x v="0"/>
    <d v="2022-05-09T00:00:00"/>
    <x v="10"/>
    <x v="2"/>
    <n v="0"/>
  </r>
  <r>
    <s v="L0354"/>
    <s v="Amit"/>
    <n v="51"/>
    <x v="1"/>
    <x v="0"/>
    <x v="351"/>
    <x v="1"/>
    <x v="264"/>
    <x v="1"/>
    <n v="1545774"/>
    <n v="15"/>
    <n v="7.1"/>
    <x v="353"/>
    <x v="3"/>
    <x v="2"/>
    <d v="2023-04-16T00:00:00"/>
    <x v="232"/>
    <x v="0"/>
    <n v="0"/>
  </r>
  <r>
    <s v="L0355"/>
    <s v="Priya"/>
    <n v="51"/>
    <x v="1"/>
    <x v="0"/>
    <x v="352"/>
    <x v="2"/>
    <x v="265"/>
    <x v="0"/>
    <n v="524368"/>
    <n v="15"/>
    <n v="9.1"/>
    <x v="354"/>
    <x v="0"/>
    <x v="1"/>
    <d v="2023-06-14T00:00:00"/>
    <x v="233"/>
    <x v="0"/>
    <n v="0"/>
  </r>
  <r>
    <s v="L0356"/>
    <s v="Kiran"/>
    <n v="59"/>
    <x v="1"/>
    <x v="1"/>
    <x v="353"/>
    <x v="1"/>
    <x v="266"/>
    <x v="2"/>
    <n v="657739"/>
    <n v="5"/>
    <n v="11.5"/>
    <x v="355"/>
    <x v="0"/>
    <x v="1"/>
    <d v="2022-10-12T00:00:00"/>
    <x v="234"/>
    <x v="0"/>
    <n v="0"/>
  </r>
  <r>
    <s v="L0357"/>
    <s v="Pooja"/>
    <n v="48"/>
    <x v="1"/>
    <x v="1"/>
    <x v="354"/>
    <x v="0"/>
    <x v="223"/>
    <x v="0"/>
    <n v="1688035"/>
    <n v="20"/>
    <n v="8.99"/>
    <x v="356"/>
    <x v="2"/>
    <x v="3"/>
    <d v="2022-07-16T00:00:00"/>
    <x v="10"/>
    <x v="2"/>
    <n v="0"/>
  </r>
  <r>
    <s v="L0358"/>
    <s v="Ankit"/>
    <n v="48"/>
    <x v="1"/>
    <x v="0"/>
    <x v="355"/>
    <x v="0"/>
    <x v="267"/>
    <x v="0"/>
    <n v="1434994"/>
    <n v="15"/>
    <n v="13.78"/>
    <x v="357"/>
    <x v="4"/>
    <x v="0"/>
    <d v="2022-05-22T00:00:00"/>
    <x v="235"/>
    <x v="0"/>
    <n v="0"/>
  </r>
  <r>
    <s v="L0359"/>
    <s v="Pooja"/>
    <n v="62"/>
    <x v="1"/>
    <x v="1"/>
    <x v="356"/>
    <x v="2"/>
    <x v="268"/>
    <x v="0"/>
    <n v="440186"/>
    <n v="20"/>
    <n v="14.37"/>
    <x v="358"/>
    <x v="3"/>
    <x v="3"/>
    <d v="2022-07-27T00:00:00"/>
    <x v="10"/>
    <x v="2"/>
    <n v="0"/>
  </r>
  <r>
    <s v="L0360"/>
    <s v="Pooja"/>
    <n v="62"/>
    <x v="1"/>
    <x v="0"/>
    <x v="357"/>
    <x v="0"/>
    <x v="269"/>
    <x v="1"/>
    <n v="1094985"/>
    <n v="15"/>
    <n v="13.86"/>
    <x v="359"/>
    <x v="4"/>
    <x v="3"/>
    <d v="2022-05-12T00:00:00"/>
    <x v="10"/>
    <x v="2"/>
    <n v="0"/>
  </r>
  <r>
    <s v="L0361"/>
    <s v="Ravi"/>
    <n v="47"/>
    <x v="1"/>
    <x v="1"/>
    <x v="358"/>
    <x v="2"/>
    <x v="270"/>
    <x v="0"/>
    <n v="1436111"/>
    <n v="20"/>
    <n v="14.17"/>
    <x v="360"/>
    <x v="0"/>
    <x v="1"/>
    <d v="2023-10-12T00:00:00"/>
    <x v="236"/>
    <x v="0"/>
    <n v="0"/>
  </r>
  <r>
    <s v="L0362"/>
    <s v="Ravi"/>
    <n v="48"/>
    <x v="1"/>
    <x v="1"/>
    <x v="359"/>
    <x v="2"/>
    <x v="271"/>
    <x v="0"/>
    <n v="1096188"/>
    <n v="20"/>
    <n v="13.16"/>
    <x v="361"/>
    <x v="3"/>
    <x v="2"/>
    <d v="2022-09-10T00:00:00"/>
    <x v="10"/>
    <x v="2"/>
    <n v="0"/>
  </r>
  <r>
    <s v="L0363"/>
    <s v="Neha"/>
    <n v="38"/>
    <x v="0"/>
    <x v="0"/>
    <x v="360"/>
    <x v="0"/>
    <x v="214"/>
    <x v="2"/>
    <n v="1407281"/>
    <n v="20"/>
    <n v="12.9"/>
    <x v="362"/>
    <x v="0"/>
    <x v="0"/>
    <d v="2023-03-08T00:00:00"/>
    <x v="17"/>
    <x v="1"/>
    <n v="1"/>
  </r>
  <r>
    <s v="L0364"/>
    <s v="Amit"/>
    <n v="35"/>
    <x v="0"/>
    <x v="0"/>
    <x v="361"/>
    <x v="1"/>
    <x v="272"/>
    <x v="1"/>
    <n v="653501"/>
    <n v="5"/>
    <n v="10.08"/>
    <x v="363"/>
    <x v="0"/>
    <x v="1"/>
    <d v="2022-03-28T00:00:00"/>
    <x v="237"/>
    <x v="1"/>
    <n v="1"/>
  </r>
  <r>
    <s v="L0365"/>
    <s v="Pooja"/>
    <n v="24"/>
    <x v="2"/>
    <x v="0"/>
    <x v="362"/>
    <x v="2"/>
    <x v="273"/>
    <x v="0"/>
    <n v="498677"/>
    <n v="5"/>
    <n v="13.79"/>
    <x v="364"/>
    <x v="4"/>
    <x v="0"/>
    <d v="2023-09-11T00:00:00"/>
    <x v="238"/>
    <x v="1"/>
    <n v="1"/>
  </r>
  <r>
    <s v="L0366"/>
    <s v="Ravi"/>
    <n v="53"/>
    <x v="1"/>
    <x v="0"/>
    <x v="363"/>
    <x v="0"/>
    <x v="203"/>
    <x v="1"/>
    <n v="1995455"/>
    <n v="5"/>
    <n v="12.5"/>
    <x v="365"/>
    <x v="1"/>
    <x v="1"/>
    <d v="2022-12-15T00:00:00"/>
    <x v="10"/>
    <x v="2"/>
    <n v="0"/>
  </r>
  <r>
    <s v="L0367"/>
    <s v="Neha"/>
    <n v="36"/>
    <x v="0"/>
    <x v="1"/>
    <x v="364"/>
    <x v="2"/>
    <x v="199"/>
    <x v="2"/>
    <n v="1959716"/>
    <n v="15"/>
    <n v="10.32"/>
    <x v="366"/>
    <x v="3"/>
    <x v="2"/>
    <d v="2023-10-19T00:00:00"/>
    <x v="239"/>
    <x v="1"/>
    <n v="1"/>
  </r>
  <r>
    <s v="L0368"/>
    <s v="Pooja"/>
    <n v="43"/>
    <x v="0"/>
    <x v="0"/>
    <x v="365"/>
    <x v="1"/>
    <x v="233"/>
    <x v="0"/>
    <n v="979598"/>
    <n v="5"/>
    <n v="8.68"/>
    <x v="367"/>
    <x v="2"/>
    <x v="1"/>
    <d v="2024-06-03T00:00:00"/>
    <x v="10"/>
    <x v="2"/>
    <n v="0"/>
  </r>
  <r>
    <s v="L0369"/>
    <s v="Ravi"/>
    <n v="38"/>
    <x v="0"/>
    <x v="0"/>
    <x v="366"/>
    <x v="1"/>
    <x v="178"/>
    <x v="1"/>
    <n v="1219418"/>
    <n v="20"/>
    <n v="14.43"/>
    <x v="368"/>
    <x v="3"/>
    <x v="3"/>
    <d v="2024-01-21T00:00:00"/>
    <x v="240"/>
    <x v="0"/>
    <n v="0"/>
  </r>
  <r>
    <s v="L0370"/>
    <s v="Pooja"/>
    <n v="33"/>
    <x v="0"/>
    <x v="1"/>
    <x v="367"/>
    <x v="2"/>
    <x v="223"/>
    <x v="0"/>
    <n v="1174530"/>
    <n v="15"/>
    <n v="13.79"/>
    <x v="369"/>
    <x v="2"/>
    <x v="1"/>
    <d v="2023-01-07T00:00:00"/>
    <x v="123"/>
    <x v="0"/>
    <n v="0"/>
  </r>
  <r>
    <s v="L0371"/>
    <s v="Rahul"/>
    <n v="53"/>
    <x v="1"/>
    <x v="1"/>
    <x v="368"/>
    <x v="2"/>
    <x v="173"/>
    <x v="0"/>
    <n v="754499"/>
    <n v="5"/>
    <n v="11.44"/>
    <x v="370"/>
    <x v="4"/>
    <x v="2"/>
    <d v="2022-08-22T00:00:00"/>
    <x v="10"/>
    <x v="2"/>
    <n v="0"/>
  </r>
  <r>
    <s v="L0372"/>
    <s v="Ankit"/>
    <n v="56"/>
    <x v="1"/>
    <x v="0"/>
    <x v="369"/>
    <x v="0"/>
    <x v="126"/>
    <x v="0"/>
    <n v="1867145"/>
    <n v="20"/>
    <n v="10.5"/>
    <x v="371"/>
    <x v="3"/>
    <x v="3"/>
    <d v="2023-02-13T00:00:00"/>
    <x v="241"/>
    <x v="0"/>
    <n v="0"/>
  </r>
  <r>
    <s v="L0373"/>
    <s v="Kiran"/>
    <n v="61"/>
    <x v="1"/>
    <x v="0"/>
    <x v="370"/>
    <x v="1"/>
    <x v="274"/>
    <x v="1"/>
    <n v="700112"/>
    <n v="5"/>
    <n v="9.31"/>
    <x v="372"/>
    <x v="4"/>
    <x v="1"/>
    <d v="2024-01-03T00:00:00"/>
    <x v="10"/>
    <x v="2"/>
    <n v="0"/>
  </r>
  <r>
    <s v="L0374"/>
    <s v="Priya"/>
    <n v="45"/>
    <x v="0"/>
    <x v="0"/>
    <x v="371"/>
    <x v="0"/>
    <x v="275"/>
    <x v="0"/>
    <n v="208477"/>
    <n v="15"/>
    <n v="9.51"/>
    <x v="373"/>
    <x v="2"/>
    <x v="1"/>
    <d v="2023-04-11T00:00:00"/>
    <x v="242"/>
    <x v="1"/>
    <n v="1"/>
  </r>
  <r>
    <s v="L0375"/>
    <s v="Suresh"/>
    <n v="29"/>
    <x v="2"/>
    <x v="0"/>
    <x v="372"/>
    <x v="2"/>
    <x v="202"/>
    <x v="2"/>
    <n v="424576"/>
    <n v="10"/>
    <n v="12.27"/>
    <x v="374"/>
    <x v="2"/>
    <x v="0"/>
    <d v="2023-07-26T00:00:00"/>
    <x v="10"/>
    <x v="2"/>
    <n v="0"/>
  </r>
  <r>
    <s v="L0376"/>
    <s v="Neha"/>
    <n v="63"/>
    <x v="1"/>
    <x v="1"/>
    <x v="373"/>
    <x v="0"/>
    <x v="6"/>
    <x v="0"/>
    <n v="1901392"/>
    <n v="20"/>
    <n v="11.47"/>
    <x v="375"/>
    <x v="1"/>
    <x v="1"/>
    <d v="2023-03-09T00:00:00"/>
    <x v="243"/>
    <x v="0"/>
    <n v="0"/>
  </r>
  <r>
    <s v="L0377"/>
    <s v="Neha"/>
    <n v="57"/>
    <x v="1"/>
    <x v="1"/>
    <x v="374"/>
    <x v="1"/>
    <x v="276"/>
    <x v="2"/>
    <n v="330800"/>
    <n v="5"/>
    <n v="11.82"/>
    <x v="376"/>
    <x v="3"/>
    <x v="3"/>
    <d v="2024-02-14T00:00:00"/>
    <x v="10"/>
    <x v="2"/>
    <n v="0"/>
  </r>
  <r>
    <s v="L0378"/>
    <s v="Amit"/>
    <n v="56"/>
    <x v="1"/>
    <x v="1"/>
    <x v="375"/>
    <x v="2"/>
    <x v="146"/>
    <x v="2"/>
    <n v="744512"/>
    <n v="10"/>
    <n v="7.97"/>
    <x v="377"/>
    <x v="1"/>
    <x v="3"/>
    <d v="2022-06-21T00:00:00"/>
    <x v="244"/>
    <x v="0"/>
    <n v="0"/>
  </r>
  <r>
    <s v="L0379"/>
    <s v="Ravi"/>
    <n v="51"/>
    <x v="1"/>
    <x v="1"/>
    <x v="376"/>
    <x v="0"/>
    <x v="112"/>
    <x v="2"/>
    <n v="194973"/>
    <n v="10"/>
    <n v="9"/>
    <x v="378"/>
    <x v="4"/>
    <x v="3"/>
    <d v="2023-10-24T00:00:00"/>
    <x v="245"/>
    <x v="0"/>
    <n v="0"/>
  </r>
  <r>
    <s v="L0380"/>
    <s v="Amit"/>
    <n v="34"/>
    <x v="0"/>
    <x v="0"/>
    <x v="377"/>
    <x v="0"/>
    <x v="277"/>
    <x v="2"/>
    <n v="1153127"/>
    <n v="20"/>
    <n v="8.68"/>
    <x v="379"/>
    <x v="0"/>
    <x v="1"/>
    <d v="2023-11-04T00:00:00"/>
    <x v="10"/>
    <x v="2"/>
    <n v="0"/>
  </r>
  <r>
    <s v="L0381"/>
    <s v="Ankit"/>
    <n v="30"/>
    <x v="0"/>
    <x v="0"/>
    <x v="378"/>
    <x v="1"/>
    <x v="278"/>
    <x v="0"/>
    <n v="558409"/>
    <n v="20"/>
    <n v="7.93"/>
    <x v="380"/>
    <x v="4"/>
    <x v="2"/>
    <d v="2023-12-16T00:00:00"/>
    <x v="90"/>
    <x v="0"/>
    <n v="0"/>
  </r>
  <r>
    <s v="L0382"/>
    <s v="Ankit"/>
    <n v="34"/>
    <x v="0"/>
    <x v="0"/>
    <x v="379"/>
    <x v="0"/>
    <x v="279"/>
    <x v="1"/>
    <n v="120064"/>
    <n v="5"/>
    <n v="8.0299999999999994"/>
    <x v="381"/>
    <x v="2"/>
    <x v="3"/>
    <d v="2024-02-08T00:00:00"/>
    <x v="246"/>
    <x v="0"/>
    <n v="0"/>
  </r>
  <r>
    <s v="L0383"/>
    <s v="Priya"/>
    <n v="50"/>
    <x v="1"/>
    <x v="1"/>
    <x v="380"/>
    <x v="2"/>
    <x v="280"/>
    <x v="0"/>
    <n v="146200"/>
    <n v="10"/>
    <n v="10.46"/>
    <x v="382"/>
    <x v="0"/>
    <x v="1"/>
    <d v="2023-01-26T00:00:00"/>
    <x v="10"/>
    <x v="2"/>
    <n v="0"/>
  </r>
  <r>
    <s v="L0384"/>
    <s v="Neha"/>
    <n v="39"/>
    <x v="0"/>
    <x v="0"/>
    <x v="381"/>
    <x v="0"/>
    <x v="281"/>
    <x v="1"/>
    <n v="207563"/>
    <n v="5"/>
    <n v="12.64"/>
    <x v="383"/>
    <x v="2"/>
    <x v="3"/>
    <d v="2022-06-20T00:00:00"/>
    <x v="10"/>
    <x v="2"/>
    <n v="0"/>
  </r>
  <r>
    <s v="L0385"/>
    <s v="Rahul"/>
    <n v="26"/>
    <x v="2"/>
    <x v="0"/>
    <x v="382"/>
    <x v="0"/>
    <x v="282"/>
    <x v="0"/>
    <n v="555940"/>
    <n v="15"/>
    <n v="12.32"/>
    <x v="384"/>
    <x v="4"/>
    <x v="0"/>
    <d v="2023-12-11T00:00:00"/>
    <x v="156"/>
    <x v="1"/>
    <n v="1"/>
  </r>
  <r>
    <s v="L0386"/>
    <s v="Sneha"/>
    <n v="43"/>
    <x v="0"/>
    <x v="0"/>
    <x v="383"/>
    <x v="0"/>
    <x v="0"/>
    <x v="0"/>
    <n v="1095344"/>
    <n v="15"/>
    <n v="7.86"/>
    <x v="385"/>
    <x v="4"/>
    <x v="3"/>
    <d v="2023-11-23T00:00:00"/>
    <x v="231"/>
    <x v="0"/>
    <n v="0"/>
  </r>
  <r>
    <s v="L0387"/>
    <s v="Rahul"/>
    <n v="38"/>
    <x v="0"/>
    <x v="0"/>
    <x v="384"/>
    <x v="0"/>
    <x v="148"/>
    <x v="1"/>
    <n v="1031517"/>
    <n v="20"/>
    <n v="8.31"/>
    <x v="386"/>
    <x v="2"/>
    <x v="2"/>
    <d v="2022-06-02T00:00:00"/>
    <x v="10"/>
    <x v="2"/>
    <n v="0"/>
  </r>
  <r>
    <s v="L0388"/>
    <s v="Neha"/>
    <n v="27"/>
    <x v="2"/>
    <x v="1"/>
    <x v="385"/>
    <x v="1"/>
    <x v="283"/>
    <x v="0"/>
    <n v="1275060"/>
    <n v="5"/>
    <n v="7.99"/>
    <x v="387"/>
    <x v="3"/>
    <x v="0"/>
    <d v="2022-05-25T00:00:00"/>
    <x v="247"/>
    <x v="0"/>
    <n v="0"/>
  </r>
  <r>
    <s v="L0389"/>
    <s v="Neha"/>
    <n v="52"/>
    <x v="1"/>
    <x v="1"/>
    <x v="386"/>
    <x v="1"/>
    <x v="284"/>
    <x v="0"/>
    <n v="350192"/>
    <n v="20"/>
    <n v="10.3"/>
    <x v="388"/>
    <x v="0"/>
    <x v="1"/>
    <d v="2022-08-11T00:00:00"/>
    <x v="248"/>
    <x v="0"/>
    <n v="0"/>
  </r>
  <r>
    <s v="L0390"/>
    <s v="Neha"/>
    <n v="41"/>
    <x v="0"/>
    <x v="0"/>
    <x v="387"/>
    <x v="0"/>
    <x v="39"/>
    <x v="0"/>
    <n v="1305250"/>
    <n v="15"/>
    <n v="8.66"/>
    <x v="389"/>
    <x v="0"/>
    <x v="1"/>
    <d v="2022-04-14T00:00:00"/>
    <x v="10"/>
    <x v="2"/>
    <n v="0"/>
  </r>
  <r>
    <s v="L0391"/>
    <s v="Sneha"/>
    <n v="41"/>
    <x v="0"/>
    <x v="0"/>
    <x v="388"/>
    <x v="1"/>
    <x v="285"/>
    <x v="0"/>
    <n v="1325221"/>
    <n v="10"/>
    <n v="13.49"/>
    <x v="390"/>
    <x v="4"/>
    <x v="2"/>
    <d v="2022-12-17T00:00:00"/>
    <x v="249"/>
    <x v="0"/>
    <n v="0"/>
  </r>
  <r>
    <s v="L0392"/>
    <s v="Suresh"/>
    <n v="34"/>
    <x v="0"/>
    <x v="1"/>
    <x v="389"/>
    <x v="1"/>
    <x v="225"/>
    <x v="2"/>
    <n v="658755"/>
    <n v="10"/>
    <n v="7.52"/>
    <x v="391"/>
    <x v="1"/>
    <x v="2"/>
    <d v="2023-02-14T00:00:00"/>
    <x v="250"/>
    <x v="1"/>
    <n v="1"/>
  </r>
  <r>
    <s v="L0393"/>
    <s v="Pooja"/>
    <n v="48"/>
    <x v="1"/>
    <x v="1"/>
    <x v="390"/>
    <x v="1"/>
    <x v="286"/>
    <x v="2"/>
    <n v="1898222"/>
    <n v="20"/>
    <n v="14.03"/>
    <x v="392"/>
    <x v="0"/>
    <x v="3"/>
    <d v="2023-02-07T00:00:00"/>
    <x v="251"/>
    <x v="1"/>
    <n v="1"/>
  </r>
  <r>
    <s v="L0394"/>
    <s v="Amit"/>
    <n v="64"/>
    <x v="1"/>
    <x v="0"/>
    <x v="391"/>
    <x v="1"/>
    <x v="176"/>
    <x v="0"/>
    <n v="1911907"/>
    <n v="15"/>
    <n v="9.0500000000000007"/>
    <x v="393"/>
    <x v="3"/>
    <x v="0"/>
    <d v="2024-02-22T00:00:00"/>
    <x v="163"/>
    <x v="1"/>
    <n v="1"/>
  </r>
  <r>
    <s v="L0395"/>
    <s v="Pooja"/>
    <n v="56"/>
    <x v="1"/>
    <x v="1"/>
    <x v="392"/>
    <x v="2"/>
    <x v="212"/>
    <x v="0"/>
    <n v="1480784"/>
    <n v="15"/>
    <n v="14.29"/>
    <x v="394"/>
    <x v="2"/>
    <x v="1"/>
    <d v="2023-11-01T00:00:00"/>
    <x v="96"/>
    <x v="1"/>
    <n v="1"/>
  </r>
  <r>
    <s v="L0396"/>
    <s v="Amit"/>
    <n v="65"/>
    <x v="1"/>
    <x v="1"/>
    <x v="393"/>
    <x v="1"/>
    <x v="287"/>
    <x v="0"/>
    <n v="471110"/>
    <n v="10"/>
    <n v="9.42"/>
    <x v="395"/>
    <x v="3"/>
    <x v="1"/>
    <d v="2024-03-09T00:00:00"/>
    <x v="252"/>
    <x v="0"/>
    <n v="0"/>
  </r>
  <r>
    <s v="L0397"/>
    <s v="Rahul"/>
    <n v="31"/>
    <x v="0"/>
    <x v="0"/>
    <x v="394"/>
    <x v="1"/>
    <x v="288"/>
    <x v="0"/>
    <n v="1197215"/>
    <n v="10"/>
    <n v="9.3699999999999992"/>
    <x v="396"/>
    <x v="2"/>
    <x v="0"/>
    <d v="2022-09-20T00:00:00"/>
    <x v="253"/>
    <x v="0"/>
    <n v="0"/>
  </r>
  <r>
    <s v="L0398"/>
    <s v="Priya"/>
    <n v="34"/>
    <x v="0"/>
    <x v="0"/>
    <x v="395"/>
    <x v="2"/>
    <x v="289"/>
    <x v="0"/>
    <n v="1173190"/>
    <n v="15"/>
    <n v="11.15"/>
    <x v="397"/>
    <x v="3"/>
    <x v="3"/>
    <d v="2022-08-30T00:00:00"/>
    <x v="254"/>
    <x v="0"/>
    <n v="0"/>
  </r>
  <r>
    <s v="L0399"/>
    <s v="Ankit"/>
    <n v="24"/>
    <x v="2"/>
    <x v="1"/>
    <x v="396"/>
    <x v="1"/>
    <x v="0"/>
    <x v="0"/>
    <n v="797931"/>
    <n v="5"/>
    <n v="8.76"/>
    <x v="398"/>
    <x v="0"/>
    <x v="3"/>
    <d v="2022-09-17T00:00:00"/>
    <x v="254"/>
    <x v="0"/>
    <n v="0"/>
  </r>
  <r>
    <s v="L0400"/>
    <s v="Rahul"/>
    <n v="23"/>
    <x v="2"/>
    <x v="0"/>
    <x v="397"/>
    <x v="1"/>
    <x v="236"/>
    <x v="1"/>
    <n v="1625171"/>
    <n v="10"/>
    <n v="14.69"/>
    <x v="399"/>
    <x v="1"/>
    <x v="1"/>
    <d v="2022-12-11T00:00:00"/>
    <x v="10"/>
    <x v="2"/>
    <n v="0"/>
  </r>
  <r>
    <s v="L0401"/>
    <s v="Pooja"/>
    <n v="36"/>
    <x v="0"/>
    <x v="0"/>
    <x v="398"/>
    <x v="0"/>
    <x v="113"/>
    <x v="0"/>
    <n v="756441"/>
    <n v="15"/>
    <n v="11.35"/>
    <x v="400"/>
    <x v="4"/>
    <x v="0"/>
    <d v="2023-08-29T00:00:00"/>
    <x v="255"/>
    <x v="0"/>
    <n v="0"/>
  </r>
  <r>
    <s v="L0402"/>
    <s v="Suresh"/>
    <n v="40"/>
    <x v="0"/>
    <x v="1"/>
    <x v="399"/>
    <x v="2"/>
    <x v="290"/>
    <x v="0"/>
    <n v="1358329"/>
    <n v="20"/>
    <n v="10.58"/>
    <x v="401"/>
    <x v="3"/>
    <x v="3"/>
    <d v="2024-06-11T00:00:00"/>
    <x v="256"/>
    <x v="0"/>
    <n v="0"/>
  </r>
  <r>
    <s v="L0403"/>
    <s v="Suresh"/>
    <n v="45"/>
    <x v="0"/>
    <x v="0"/>
    <x v="400"/>
    <x v="2"/>
    <x v="156"/>
    <x v="2"/>
    <n v="412473"/>
    <n v="20"/>
    <n v="9.85"/>
    <x v="402"/>
    <x v="2"/>
    <x v="0"/>
    <d v="2024-02-21T00:00:00"/>
    <x v="257"/>
    <x v="0"/>
    <n v="0"/>
  </r>
  <r>
    <s v="L0404"/>
    <s v="Rahul"/>
    <n v="46"/>
    <x v="1"/>
    <x v="0"/>
    <x v="401"/>
    <x v="0"/>
    <x v="65"/>
    <x v="0"/>
    <n v="1239403"/>
    <n v="20"/>
    <n v="12.57"/>
    <x v="403"/>
    <x v="4"/>
    <x v="3"/>
    <d v="2024-05-10T00:00:00"/>
    <x v="6"/>
    <x v="0"/>
    <n v="0"/>
  </r>
  <r>
    <s v="L0405"/>
    <s v="Amit"/>
    <n v="33"/>
    <x v="0"/>
    <x v="1"/>
    <x v="402"/>
    <x v="0"/>
    <x v="291"/>
    <x v="2"/>
    <n v="428949"/>
    <n v="10"/>
    <n v="12.38"/>
    <x v="404"/>
    <x v="2"/>
    <x v="3"/>
    <d v="2024-02-02T00:00:00"/>
    <x v="10"/>
    <x v="2"/>
    <n v="0"/>
  </r>
  <r>
    <s v="L0406"/>
    <s v="Pooja"/>
    <n v="30"/>
    <x v="0"/>
    <x v="1"/>
    <x v="403"/>
    <x v="2"/>
    <x v="45"/>
    <x v="0"/>
    <n v="308643"/>
    <n v="20"/>
    <n v="12.55"/>
    <x v="405"/>
    <x v="2"/>
    <x v="1"/>
    <d v="2022-04-04T00:00:00"/>
    <x v="258"/>
    <x v="0"/>
    <n v="0"/>
  </r>
  <r>
    <s v="L0407"/>
    <s v="Suresh"/>
    <n v="54"/>
    <x v="1"/>
    <x v="1"/>
    <x v="404"/>
    <x v="1"/>
    <x v="292"/>
    <x v="0"/>
    <n v="1472629"/>
    <n v="10"/>
    <n v="13.22"/>
    <x v="406"/>
    <x v="1"/>
    <x v="1"/>
    <d v="2024-01-11T00:00:00"/>
    <x v="259"/>
    <x v="0"/>
    <n v="0"/>
  </r>
  <r>
    <s v="L0408"/>
    <s v="Rahul"/>
    <n v="43"/>
    <x v="0"/>
    <x v="1"/>
    <x v="405"/>
    <x v="2"/>
    <x v="293"/>
    <x v="2"/>
    <n v="1399447"/>
    <n v="5"/>
    <n v="9.1199999999999992"/>
    <x v="407"/>
    <x v="2"/>
    <x v="3"/>
    <d v="2024-03-16T00:00:00"/>
    <x v="260"/>
    <x v="1"/>
    <n v="1"/>
  </r>
  <r>
    <s v="L0409"/>
    <s v="Ravi"/>
    <n v="59"/>
    <x v="1"/>
    <x v="0"/>
    <x v="406"/>
    <x v="2"/>
    <x v="294"/>
    <x v="0"/>
    <n v="1913869"/>
    <n v="5"/>
    <n v="12.45"/>
    <x v="408"/>
    <x v="2"/>
    <x v="2"/>
    <d v="2024-02-11T00:00:00"/>
    <x v="261"/>
    <x v="0"/>
    <n v="0"/>
  </r>
  <r>
    <s v="L0410"/>
    <s v="Rahul"/>
    <n v="29"/>
    <x v="2"/>
    <x v="0"/>
    <x v="407"/>
    <x v="1"/>
    <x v="157"/>
    <x v="1"/>
    <n v="1839148"/>
    <n v="20"/>
    <n v="7.28"/>
    <x v="409"/>
    <x v="0"/>
    <x v="2"/>
    <d v="2022-07-04T00:00:00"/>
    <x v="262"/>
    <x v="0"/>
    <n v="0"/>
  </r>
  <r>
    <s v="L0411"/>
    <s v="Kiran"/>
    <n v="33"/>
    <x v="0"/>
    <x v="1"/>
    <x v="408"/>
    <x v="0"/>
    <x v="295"/>
    <x v="0"/>
    <n v="1418215"/>
    <n v="10"/>
    <n v="11.7"/>
    <x v="410"/>
    <x v="4"/>
    <x v="2"/>
    <d v="2024-02-20T00:00:00"/>
    <x v="263"/>
    <x v="0"/>
    <n v="0"/>
  </r>
  <r>
    <s v="L0412"/>
    <s v="Rahul"/>
    <n v="53"/>
    <x v="1"/>
    <x v="0"/>
    <x v="409"/>
    <x v="2"/>
    <x v="296"/>
    <x v="1"/>
    <n v="185141"/>
    <n v="20"/>
    <n v="10.36"/>
    <x v="411"/>
    <x v="0"/>
    <x v="1"/>
    <d v="2022-05-04T00:00:00"/>
    <x v="10"/>
    <x v="2"/>
    <n v="0"/>
  </r>
  <r>
    <s v="L0413"/>
    <s v="Kiran"/>
    <n v="35"/>
    <x v="0"/>
    <x v="1"/>
    <x v="410"/>
    <x v="1"/>
    <x v="297"/>
    <x v="0"/>
    <n v="445256"/>
    <n v="15"/>
    <n v="13.91"/>
    <x v="412"/>
    <x v="0"/>
    <x v="2"/>
    <d v="2024-03-18T00:00:00"/>
    <x v="10"/>
    <x v="2"/>
    <n v="0"/>
  </r>
  <r>
    <s v="L0414"/>
    <s v="Ankit"/>
    <n v="64"/>
    <x v="1"/>
    <x v="0"/>
    <x v="411"/>
    <x v="0"/>
    <x v="298"/>
    <x v="0"/>
    <n v="1623725"/>
    <n v="15"/>
    <n v="8.15"/>
    <x v="413"/>
    <x v="0"/>
    <x v="1"/>
    <d v="2022-01-20T00:00:00"/>
    <x v="10"/>
    <x v="2"/>
    <n v="0"/>
  </r>
  <r>
    <s v="L0415"/>
    <s v="Ankit"/>
    <n v="34"/>
    <x v="0"/>
    <x v="0"/>
    <x v="412"/>
    <x v="1"/>
    <x v="58"/>
    <x v="2"/>
    <n v="180337"/>
    <n v="5"/>
    <n v="8.33"/>
    <x v="414"/>
    <x v="2"/>
    <x v="3"/>
    <d v="2024-01-02T00:00:00"/>
    <x v="10"/>
    <x v="2"/>
    <n v="0"/>
  </r>
  <r>
    <s v="L0416"/>
    <s v="Amit"/>
    <n v="31"/>
    <x v="0"/>
    <x v="0"/>
    <x v="413"/>
    <x v="1"/>
    <x v="299"/>
    <x v="2"/>
    <n v="681056"/>
    <n v="15"/>
    <n v="9.16"/>
    <x v="415"/>
    <x v="4"/>
    <x v="2"/>
    <d v="2022-06-20T00:00:00"/>
    <x v="10"/>
    <x v="2"/>
    <n v="0"/>
  </r>
  <r>
    <s v="L0417"/>
    <s v="Sneha"/>
    <n v="50"/>
    <x v="1"/>
    <x v="0"/>
    <x v="414"/>
    <x v="0"/>
    <x v="300"/>
    <x v="1"/>
    <n v="1757929"/>
    <n v="5"/>
    <n v="12.77"/>
    <x v="416"/>
    <x v="0"/>
    <x v="3"/>
    <d v="2022-12-08T00:00:00"/>
    <x v="13"/>
    <x v="0"/>
    <n v="0"/>
  </r>
  <r>
    <s v="L0418"/>
    <s v="Suresh"/>
    <n v="63"/>
    <x v="1"/>
    <x v="1"/>
    <x v="415"/>
    <x v="2"/>
    <x v="201"/>
    <x v="2"/>
    <n v="1037337"/>
    <n v="15"/>
    <n v="12.31"/>
    <x v="417"/>
    <x v="0"/>
    <x v="0"/>
    <d v="2023-06-17T00:00:00"/>
    <x v="10"/>
    <x v="2"/>
    <n v="0"/>
  </r>
  <r>
    <s v="L0419"/>
    <s v="Sneha"/>
    <n v="30"/>
    <x v="0"/>
    <x v="0"/>
    <x v="416"/>
    <x v="1"/>
    <x v="301"/>
    <x v="1"/>
    <n v="1316935"/>
    <n v="20"/>
    <n v="12.98"/>
    <x v="418"/>
    <x v="1"/>
    <x v="2"/>
    <d v="2022-02-26T00:00:00"/>
    <x v="264"/>
    <x v="0"/>
    <n v="0"/>
  </r>
  <r>
    <s v="L0420"/>
    <s v="Ravi"/>
    <n v="40"/>
    <x v="0"/>
    <x v="1"/>
    <x v="417"/>
    <x v="0"/>
    <x v="183"/>
    <x v="0"/>
    <n v="1789171"/>
    <n v="5"/>
    <n v="10.62"/>
    <x v="419"/>
    <x v="4"/>
    <x v="1"/>
    <d v="2022-06-18T00:00:00"/>
    <x v="265"/>
    <x v="0"/>
    <n v="0"/>
  </r>
  <r>
    <s v="L0421"/>
    <s v="Ravi"/>
    <n v="21"/>
    <x v="2"/>
    <x v="1"/>
    <x v="418"/>
    <x v="0"/>
    <x v="302"/>
    <x v="2"/>
    <n v="1465467"/>
    <n v="20"/>
    <n v="14.86"/>
    <x v="420"/>
    <x v="4"/>
    <x v="1"/>
    <d v="2022-09-13T00:00:00"/>
    <x v="266"/>
    <x v="0"/>
    <n v="0"/>
  </r>
  <r>
    <s v="L0422"/>
    <s v="Neha"/>
    <n v="43"/>
    <x v="0"/>
    <x v="0"/>
    <x v="419"/>
    <x v="2"/>
    <x v="261"/>
    <x v="0"/>
    <n v="169524"/>
    <n v="10"/>
    <n v="10.44"/>
    <x v="421"/>
    <x v="4"/>
    <x v="1"/>
    <d v="2023-03-17T00:00:00"/>
    <x v="178"/>
    <x v="0"/>
    <n v="0"/>
  </r>
  <r>
    <s v="L0423"/>
    <s v="Sneha"/>
    <n v="58"/>
    <x v="1"/>
    <x v="1"/>
    <x v="420"/>
    <x v="1"/>
    <x v="303"/>
    <x v="2"/>
    <n v="370758"/>
    <n v="10"/>
    <n v="8.91"/>
    <x v="422"/>
    <x v="1"/>
    <x v="3"/>
    <d v="2023-04-16T00:00:00"/>
    <x v="267"/>
    <x v="0"/>
    <n v="0"/>
  </r>
  <r>
    <s v="L0424"/>
    <s v="Neha"/>
    <n v="23"/>
    <x v="2"/>
    <x v="1"/>
    <x v="421"/>
    <x v="0"/>
    <x v="249"/>
    <x v="1"/>
    <n v="1621477"/>
    <n v="5"/>
    <n v="11.32"/>
    <x v="423"/>
    <x v="3"/>
    <x v="0"/>
    <d v="2022-12-02T00:00:00"/>
    <x v="160"/>
    <x v="0"/>
    <n v="0"/>
  </r>
  <r>
    <s v="L0425"/>
    <s v="Amit"/>
    <n v="41"/>
    <x v="0"/>
    <x v="0"/>
    <x v="422"/>
    <x v="2"/>
    <x v="304"/>
    <x v="1"/>
    <n v="1864053"/>
    <n v="10"/>
    <n v="8.6"/>
    <x v="424"/>
    <x v="0"/>
    <x v="2"/>
    <d v="2022-01-31T00:00:00"/>
    <x v="268"/>
    <x v="1"/>
    <n v="1"/>
  </r>
  <r>
    <s v="L0426"/>
    <s v="Ankit"/>
    <n v="52"/>
    <x v="1"/>
    <x v="1"/>
    <x v="423"/>
    <x v="1"/>
    <x v="305"/>
    <x v="2"/>
    <n v="718242"/>
    <n v="20"/>
    <n v="8.2799999999999994"/>
    <x v="425"/>
    <x v="4"/>
    <x v="1"/>
    <d v="2022-01-03T00:00:00"/>
    <x v="143"/>
    <x v="0"/>
    <n v="0"/>
  </r>
  <r>
    <s v="L0427"/>
    <s v="Ravi"/>
    <n v="52"/>
    <x v="1"/>
    <x v="0"/>
    <x v="424"/>
    <x v="1"/>
    <x v="306"/>
    <x v="1"/>
    <n v="1466446"/>
    <n v="20"/>
    <n v="9.8800000000000008"/>
    <x v="426"/>
    <x v="2"/>
    <x v="3"/>
    <d v="2022-12-12T00:00:00"/>
    <x v="249"/>
    <x v="0"/>
    <n v="0"/>
  </r>
  <r>
    <s v="L0428"/>
    <s v="Rahul"/>
    <n v="60"/>
    <x v="1"/>
    <x v="0"/>
    <x v="425"/>
    <x v="2"/>
    <x v="288"/>
    <x v="0"/>
    <n v="1219044"/>
    <n v="5"/>
    <n v="8.64"/>
    <x v="427"/>
    <x v="3"/>
    <x v="1"/>
    <d v="2023-05-07T00:00:00"/>
    <x v="269"/>
    <x v="0"/>
    <n v="0"/>
  </r>
  <r>
    <s v="L0429"/>
    <s v="Ravi"/>
    <n v="34"/>
    <x v="0"/>
    <x v="1"/>
    <x v="426"/>
    <x v="0"/>
    <x v="307"/>
    <x v="0"/>
    <n v="128980"/>
    <n v="10"/>
    <n v="13.1"/>
    <x v="428"/>
    <x v="2"/>
    <x v="3"/>
    <d v="2022-11-06T00:00:00"/>
    <x v="10"/>
    <x v="2"/>
    <n v="0"/>
  </r>
  <r>
    <s v="L0430"/>
    <s v="Neha"/>
    <n v="62"/>
    <x v="1"/>
    <x v="0"/>
    <x v="427"/>
    <x v="0"/>
    <x v="85"/>
    <x v="1"/>
    <n v="1966000"/>
    <n v="20"/>
    <n v="14.32"/>
    <x v="429"/>
    <x v="4"/>
    <x v="0"/>
    <d v="2023-10-10T00:00:00"/>
    <x v="10"/>
    <x v="2"/>
    <n v="0"/>
  </r>
  <r>
    <s v="L0431"/>
    <s v="Amit"/>
    <n v="31"/>
    <x v="0"/>
    <x v="0"/>
    <x v="428"/>
    <x v="1"/>
    <x v="308"/>
    <x v="2"/>
    <n v="928245"/>
    <n v="20"/>
    <n v="7.19"/>
    <x v="430"/>
    <x v="1"/>
    <x v="0"/>
    <d v="2022-04-07T00:00:00"/>
    <x v="270"/>
    <x v="0"/>
    <n v="0"/>
  </r>
  <r>
    <s v="L0432"/>
    <s v="Sneha"/>
    <n v="29"/>
    <x v="2"/>
    <x v="1"/>
    <x v="429"/>
    <x v="2"/>
    <x v="309"/>
    <x v="2"/>
    <n v="700140"/>
    <n v="20"/>
    <n v="10.28"/>
    <x v="431"/>
    <x v="1"/>
    <x v="2"/>
    <d v="2024-05-31T00:00:00"/>
    <x v="271"/>
    <x v="0"/>
    <n v="0"/>
  </r>
  <r>
    <s v="L0433"/>
    <s v="Amit"/>
    <n v="50"/>
    <x v="1"/>
    <x v="0"/>
    <x v="430"/>
    <x v="0"/>
    <x v="1"/>
    <x v="1"/>
    <n v="1520630"/>
    <n v="15"/>
    <n v="11.33"/>
    <x v="432"/>
    <x v="1"/>
    <x v="1"/>
    <d v="2022-07-09T00:00:00"/>
    <x v="272"/>
    <x v="0"/>
    <n v="0"/>
  </r>
  <r>
    <s v="L0434"/>
    <s v="Pooja"/>
    <n v="32"/>
    <x v="0"/>
    <x v="0"/>
    <x v="431"/>
    <x v="0"/>
    <x v="132"/>
    <x v="1"/>
    <n v="1958587"/>
    <n v="5"/>
    <n v="7.42"/>
    <x v="433"/>
    <x v="4"/>
    <x v="3"/>
    <d v="2023-01-12T00:00:00"/>
    <x v="273"/>
    <x v="0"/>
    <n v="0"/>
  </r>
  <r>
    <s v="L0435"/>
    <s v="Sneha"/>
    <n v="30"/>
    <x v="0"/>
    <x v="0"/>
    <x v="432"/>
    <x v="2"/>
    <x v="310"/>
    <x v="2"/>
    <n v="1589114"/>
    <n v="5"/>
    <n v="8.64"/>
    <x v="434"/>
    <x v="2"/>
    <x v="1"/>
    <d v="2022-07-03T00:00:00"/>
    <x v="10"/>
    <x v="2"/>
    <n v="0"/>
  </r>
  <r>
    <s v="L0436"/>
    <s v="Pooja"/>
    <n v="26"/>
    <x v="2"/>
    <x v="1"/>
    <x v="433"/>
    <x v="2"/>
    <x v="285"/>
    <x v="0"/>
    <n v="1059450"/>
    <n v="10"/>
    <n v="13.54"/>
    <x v="435"/>
    <x v="4"/>
    <x v="2"/>
    <d v="2023-05-17T00:00:00"/>
    <x v="10"/>
    <x v="2"/>
    <n v="0"/>
  </r>
  <r>
    <s v="L0437"/>
    <s v="Sneha"/>
    <n v="49"/>
    <x v="1"/>
    <x v="0"/>
    <x v="434"/>
    <x v="1"/>
    <x v="29"/>
    <x v="2"/>
    <n v="1170884"/>
    <n v="10"/>
    <n v="11.19"/>
    <x v="436"/>
    <x v="0"/>
    <x v="3"/>
    <d v="2022-01-02T00:00:00"/>
    <x v="274"/>
    <x v="0"/>
    <n v="0"/>
  </r>
  <r>
    <s v="L0438"/>
    <s v="Amit"/>
    <n v="58"/>
    <x v="1"/>
    <x v="0"/>
    <x v="435"/>
    <x v="0"/>
    <x v="311"/>
    <x v="2"/>
    <n v="1446617"/>
    <n v="5"/>
    <n v="7.53"/>
    <x v="437"/>
    <x v="4"/>
    <x v="3"/>
    <d v="2022-01-14T00:00:00"/>
    <x v="10"/>
    <x v="2"/>
    <n v="0"/>
  </r>
  <r>
    <s v="L0439"/>
    <s v="Suresh"/>
    <n v="26"/>
    <x v="2"/>
    <x v="1"/>
    <x v="436"/>
    <x v="1"/>
    <x v="83"/>
    <x v="0"/>
    <n v="383862"/>
    <n v="5"/>
    <n v="8.3800000000000008"/>
    <x v="438"/>
    <x v="2"/>
    <x v="0"/>
    <d v="2022-07-07T00:00:00"/>
    <x v="10"/>
    <x v="2"/>
    <n v="0"/>
  </r>
  <r>
    <s v="L0440"/>
    <s v="Amit"/>
    <n v="43"/>
    <x v="0"/>
    <x v="0"/>
    <x v="437"/>
    <x v="2"/>
    <x v="312"/>
    <x v="2"/>
    <n v="1862383"/>
    <n v="5"/>
    <n v="12.63"/>
    <x v="439"/>
    <x v="1"/>
    <x v="0"/>
    <d v="2023-10-31T00:00:00"/>
    <x v="10"/>
    <x v="2"/>
    <n v="0"/>
  </r>
  <r>
    <s v="L0441"/>
    <s v="Kiran"/>
    <n v="45"/>
    <x v="0"/>
    <x v="0"/>
    <x v="438"/>
    <x v="2"/>
    <x v="221"/>
    <x v="0"/>
    <n v="845360"/>
    <n v="5"/>
    <n v="8.69"/>
    <x v="440"/>
    <x v="1"/>
    <x v="2"/>
    <d v="2022-05-19T00:00:00"/>
    <x v="275"/>
    <x v="0"/>
    <n v="0"/>
  </r>
  <r>
    <s v="L0442"/>
    <s v="Kiran"/>
    <n v="53"/>
    <x v="1"/>
    <x v="0"/>
    <x v="439"/>
    <x v="2"/>
    <x v="70"/>
    <x v="1"/>
    <n v="623689"/>
    <n v="15"/>
    <n v="14.31"/>
    <x v="441"/>
    <x v="3"/>
    <x v="2"/>
    <d v="2023-12-01T00:00:00"/>
    <x v="10"/>
    <x v="2"/>
    <n v="0"/>
  </r>
  <r>
    <s v="L0443"/>
    <s v="Suresh"/>
    <n v="41"/>
    <x v="0"/>
    <x v="1"/>
    <x v="440"/>
    <x v="1"/>
    <x v="313"/>
    <x v="0"/>
    <n v="273196"/>
    <n v="20"/>
    <n v="11.86"/>
    <x v="442"/>
    <x v="3"/>
    <x v="0"/>
    <d v="2022-01-25T00:00:00"/>
    <x v="162"/>
    <x v="1"/>
    <n v="1"/>
  </r>
  <r>
    <s v="L0444"/>
    <s v="Neha"/>
    <n v="57"/>
    <x v="1"/>
    <x v="1"/>
    <x v="441"/>
    <x v="0"/>
    <x v="172"/>
    <x v="0"/>
    <n v="825775"/>
    <n v="10"/>
    <n v="9.92"/>
    <x v="443"/>
    <x v="0"/>
    <x v="2"/>
    <d v="2023-03-21T00:00:00"/>
    <x v="276"/>
    <x v="0"/>
    <n v="0"/>
  </r>
  <r>
    <s v="L0445"/>
    <s v="Suresh"/>
    <n v="57"/>
    <x v="1"/>
    <x v="0"/>
    <x v="442"/>
    <x v="0"/>
    <x v="314"/>
    <x v="2"/>
    <n v="963057"/>
    <n v="5"/>
    <n v="13.24"/>
    <x v="444"/>
    <x v="1"/>
    <x v="3"/>
    <d v="2022-01-11T00:00:00"/>
    <x v="277"/>
    <x v="1"/>
    <n v="1"/>
  </r>
  <r>
    <s v="L0446"/>
    <s v="Pooja"/>
    <n v="63"/>
    <x v="1"/>
    <x v="1"/>
    <x v="443"/>
    <x v="2"/>
    <x v="65"/>
    <x v="0"/>
    <n v="1610459"/>
    <n v="10"/>
    <n v="11.17"/>
    <x v="445"/>
    <x v="1"/>
    <x v="2"/>
    <d v="2022-12-08T00:00:00"/>
    <x v="278"/>
    <x v="0"/>
    <n v="0"/>
  </r>
  <r>
    <s v="L0447"/>
    <s v="Suresh"/>
    <n v="58"/>
    <x v="1"/>
    <x v="0"/>
    <x v="444"/>
    <x v="0"/>
    <x v="94"/>
    <x v="1"/>
    <n v="1952247"/>
    <n v="5"/>
    <n v="12.74"/>
    <x v="446"/>
    <x v="4"/>
    <x v="3"/>
    <d v="2024-01-26T00:00:00"/>
    <x v="10"/>
    <x v="2"/>
    <n v="0"/>
  </r>
  <r>
    <s v="L0448"/>
    <s v="Pooja"/>
    <n v="31"/>
    <x v="0"/>
    <x v="1"/>
    <x v="445"/>
    <x v="0"/>
    <x v="32"/>
    <x v="0"/>
    <n v="1229165"/>
    <n v="15"/>
    <n v="13.74"/>
    <x v="447"/>
    <x v="0"/>
    <x v="1"/>
    <d v="2023-04-18T00:00:00"/>
    <x v="279"/>
    <x v="1"/>
    <n v="1"/>
  </r>
  <r>
    <s v="L0449"/>
    <s v="Kiran"/>
    <n v="63"/>
    <x v="1"/>
    <x v="1"/>
    <x v="446"/>
    <x v="0"/>
    <x v="315"/>
    <x v="0"/>
    <n v="1504776"/>
    <n v="15"/>
    <n v="8.4700000000000006"/>
    <x v="448"/>
    <x v="4"/>
    <x v="3"/>
    <d v="2024-06-17T00:00:00"/>
    <x v="280"/>
    <x v="0"/>
    <n v="0"/>
  </r>
  <r>
    <s v="L0450"/>
    <s v="Priya"/>
    <n v="48"/>
    <x v="1"/>
    <x v="0"/>
    <x v="447"/>
    <x v="1"/>
    <x v="316"/>
    <x v="1"/>
    <n v="847186"/>
    <n v="15"/>
    <n v="8.01"/>
    <x v="449"/>
    <x v="0"/>
    <x v="3"/>
    <d v="2022-08-15T00:00:00"/>
    <x v="281"/>
    <x v="0"/>
    <n v="0"/>
  </r>
  <r>
    <s v="L0451"/>
    <s v="Rahul"/>
    <n v="61"/>
    <x v="1"/>
    <x v="1"/>
    <x v="448"/>
    <x v="2"/>
    <x v="70"/>
    <x v="1"/>
    <n v="1723081"/>
    <n v="5"/>
    <n v="7.51"/>
    <x v="450"/>
    <x v="1"/>
    <x v="1"/>
    <d v="2024-04-10T00:00:00"/>
    <x v="10"/>
    <x v="2"/>
    <n v="0"/>
  </r>
  <r>
    <s v="L0452"/>
    <s v="Rahul"/>
    <n v="29"/>
    <x v="2"/>
    <x v="1"/>
    <x v="449"/>
    <x v="1"/>
    <x v="317"/>
    <x v="0"/>
    <n v="230524"/>
    <n v="10"/>
    <n v="8.65"/>
    <x v="451"/>
    <x v="2"/>
    <x v="3"/>
    <d v="2023-03-06T00:00:00"/>
    <x v="10"/>
    <x v="2"/>
    <n v="0"/>
  </r>
  <r>
    <s v="L0453"/>
    <s v="Ankit"/>
    <n v="64"/>
    <x v="1"/>
    <x v="1"/>
    <x v="450"/>
    <x v="1"/>
    <x v="318"/>
    <x v="1"/>
    <n v="329965"/>
    <n v="10"/>
    <n v="12.68"/>
    <x v="452"/>
    <x v="3"/>
    <x v="2"/>
    <d v="2022-05-30T00:00:00"/>
    <x v="282"/>
    <x v="1"/>
    <n v="1"/>
  </r>
  <r>
    <s v="L0454"/>
    <s v="Neha"/>
    <n v="60"/>
    <x v="1"/>
    <x v="1"/>
    <x v="451"/>
    <x v="2"/>
    <x v="90"/>
    <x v="1"/>
    <n v="1176512"/>
    <n v="15"/>
    <n v="11.93"/>
    <x v="453"/>
    <x v="2"/>
    <x v="0"/>
    <d v="2024-01-06T00:00:00"/>
    <x v="283"/>
    <x v="0"/>
    <n v="0"/>
  </r>
  <r>
    <s v="L0455"/>
    <s v="Ankit"/>
    <n v="24"/>
    <x v="2"/>
    <x v="0"/>
    <x v="452"/>
    <x v="0"/>
    <x v="8"/>
    <x v="0"/>
    <n v="258260"/>
    <n v="5"/>
    <n v="11.39"/>
    <x v="454"/>
    <x v="1"/>
    <x v="1"/>
    <d v="2023-12-18T00:00:00"/>
    <x v="284"/>
    <x v="0"/>
    <n v="0"/>
  </r>
  <r>
    <s v="L0456"/>
    <s v="Kiran"/>
    <n v="61"/>
    <x v="1"/>
    <x v="0"/>
    <x v="453"/>
    <x v="1"/>
    <x v="242"/>
    <x v="2"/>
    <n v="1355241"/>
    <n v="10"/>
    <n v="13.52"/>
    <x v="455"/>
    <x v="3"/>
    <x v="1"/>
    <d v="2023-03-10T00:00:00"/>
    <x v="285"/>
    <x v="1"/>
    <n v="1"/>
  </r>
  <r>
    <s v="L0457"/>
    <s v="Neha"/>
    <n v="35"/>
    <x v="0"/>
    <x v="1"/>
    <x v="454"/>
    <x v="0"/>
    <x v="319"/>
    <x v="0"/>
    <n v="927757"/>
    <n v="10"/>
    <n v="10.84"/>
    <x v="456"/>
    <x v="1"/>
    <x v="0"/>
    <d v="2024-04-17T00:00:00"/>
    <x v="61"/>
    <x v="0"/>
    <n v="0"/>
  </r>
  <r>
    <s v="L0458"/>
    <s v="Suresh"/>
    <n v="32"/>
    <x v="0"/>
    <x v="0"/>
    <x v="455"/>
    <x v="0"/>
    <x v="299"/>
    <x v="2"/>
    <n v="119901"/>
    <n v="20"/>
    <n v="12.33"/>
    <x v="457"/>
    <x v="0"/>
    <x v="2"/>
    <d v="2023-06-16T00:00:00"/>
    <x v="286"/>
    <x v="0"/>
    <n v="0"/>
  </r>
  <r>
    <s v="L0459"/>
    <s v="Sneha"/>
    <n v="21"/>
    <x v="2"/>
    <x v="1"/>
    <x v="456"/>
    <x v="1"/>
    <x v="320"/>
    <x v="0"/>
    <n v="526956"/>
    <n v="20"/>
    <n v="14.52"/>
    <x v="458"/>
    <x v="4"/>
    <x v="1"/>
    <d v="2022-11-09T00:00:00"/>
    <x v="287"/>
    <x v="0"/>
    <n v="0"/>
  </r>
  <r>
    <s v="L0460"/>
    <s v="Ravi"/>
    <n v="44"/>
    <x v="0"/>
    <x v="0"/>
    <x v="457"/>
    <x v="0"/>
    <x v="55"/>
    <x v="0"/>
    <n v="824559"/>
    <n v="20"/>
    <n v="8.5399999999999991"/>
    <x v="459"/>
    <x v="0"/>
    <x v="0"/>
    <d v="2023-01-13T00:00:00"/>
    <x v="288"/>
    <x v="0"/>
    <n v="0"/>
  </r>
  <r>
    <s v="L0461"/>
    <s v="Neha"/>
    <n v="64"/>
    <x v="1"/>
    <x v="0"/>
    <x v="458"/>
    <x v="2"/>
    <x v="243"/>
    <x v="2"/>
    <n v="428793"/>
    <n v="10"/>
    <n v="10.210000000000001"/>
    <x v="460"/>
    <x v="4"/>
    <x v="3"/>
    <d v="2023-08-20T00:00:00"/>
    <x v="289"/>
    <x v="0"/>
    <n v="0"/>
  </r>
  <r>
    <s v="L0462"/>
    <s v="Sneha"/>
    <n v="65"/>
    <x v="1"/>
    <x v="0"/>
    <x v="459"/>
    <x v="2"/>
    <x v="203"/>
    <x v="1"/>
    <n v="870004"/>
    <n v="20"/>
    <n v="8.49"/>
    <x v="461"/>
    <x v="0"/>
    <x v="1"/>
    <d v="2022-01-03T00:00:00"/>
    <x v="143"/>
    <x v="0"/>
    <n v="0"/>
  </r>
  <r>
    <s v="L0463"/>
    <s v="Sneha"/>
    <n v="43"/>
    <x v="0"/>
    <x v="0"/>
    <x v="460"/>
    <x v="0"/>
    <x v="275"/>
    <x v="0"/>
    <n v="1999921"/>
    <n v="10"/>
    <n v="11.64"/>
    <x v="462"/>
    <x v="3"/>
    <x v="2"/>
    <d v="2023-05-15T00:00:00"/>
    <x v="290"/>
    <x v="0"/>
    <n v="0"/>
  </r>
  <r>
    <s v="L0464"/>
    <s v="Ravi"/>
    <n v="28"/>
    <x v="2"/>
    <x v="1"/>
    <x v="461"/>
    <x v="2"/>
    <x v="122"/>
    <x v="1"/>
    <n v="1027861"/>
    <n v="5"/>
    <n v="9.84"/>
    <x v="463"/>
    <x v="3"/>
    <x v="0"/>
    <d v="2022-05-15T00:00:00"/>
    <x v="235"/>
    <x v="0"/>
    <n v="0"/>
  </r>
  <r>
    <s v="L0465"/>
    <s v="Rahul"/>
    <n v="36"/>
    <x v="0"/>
    <x v="0"/>
    <x v="462"/>
    <x v="2"/>
    <x v="53"/>
    <x v="0"/>
    <n v="327599"/>
    <n v="15"/>
    <n v="13.31"/>
    <x v="464"/>
    <x v="2"/>
    <x v="2"/>
    <d v="2024-05-23T00:00:00"/>
    <x v="291"/>
    <x v="1"/>
    <n v="1"/>
  </r>
  <r>
    <s v="L0466"/>
    <s v="Pooja"/>
    <n v="63"/>
    <x v="1"/>
    <x v="0"/>
    <x v="463"/>
    <x v="0"/>
    <x v="223"/>
    <x v="0"/>
    <n v="1095406"/>
    <n v="10"/>
    <n v="9.18"/>
    <x v="465"/>
    <x v="2"/>
    <x v="3"/>
    <d v="2024-01-27T00:00:00"/>
    <x v="10"/>
    <x v="2"/>
    <n v="0"/>
  </r>
  <r>
    <s v="L0467"/>
    <s v="Ankit"/>
    <n v="31"/>
    <x v="0"/>
    <x v="1"/>
    <x v="464"/>
    <x v="1"/>
    <x v="321"/>
    <x v="1"/>
    <n v="1757848"/>
    <n v="10"/>
    <n v="11.77"/>
    <x v="466"/>
    <x v="1"/>
    <x v="3"/>
    <d v="2022-06-27T00:00:00"/>
    <x v="70"/>
    <x v="0"/>
    <n v="0"/>
  </r>
  <r>
    <s v="L0468"/>
    <s v="Ankit"/>
    <n v="50"/>
    <x v="1"/>
    <x v="0"/>
    <x v="465"/>
    <x v="0"/>
    <x v="241"/>
    <x v="0"/>
    <n v="202256"/>
    <n v="20"/>
    <n v="10.14"/>
    <x v="467"/>
    <x v="1"/>
    <x v="0"/>
    <d v="2022-06-07T00:00:00"/>
    <x v="199"/>
    <x v="0"/>
    <n v="0"/>
  </r>
  <r>
    <s v="L0469"/>
    <s v="Pooja"/>
    <n v="36"/>
    <x v="0"/>
    <x v="0"/>
    <x v="466"/>
    <x v="1"/>
    <x v="322"/>
    <x v="1"/>
    <n v="175519"/>
    <n v="15"/>
    <n v="11.5"/>
    <x v="468"/>
    <x v="3"/>
    <x v="2"/>
    <d v="2023-12-04T00:00:00"/>
    <x v="292"/>
    <x v="0"/>
    <n v="0"/>
  </r>
  <r>
    <s v="L0470"/>
    <s v="Rahul"/>
    <n v="58"/>
    <x v="1"/>
    <x v="0"/>
    <x v="467"/>
    <x v="1"/>
    <x v="142"/>
    <x v="1"/>
    <n v="1367172"/>
    <n v="10"/>
    <n v="12.09"/>
    <x v="469"/>
    <x v="3"/>
    <x v="1"/>
    <d v="2023-08-01T00:00:00"/>
    <x v="10"/>
    <x v="2"/>
    <n v="0"/>
  </r>
  <r>
    <s v="L0471"/>
    <s v="Amit"/>
    <n v="47"/>
    <x v="1"/>
    <x v="0"/>
    <x v="468"/>
    <x v="1"/>
    <x v="293"/>
    <x v="2"/>
    <n v="338568"/>
    <n v="15"/>
    <n v="9.02"/>
    <x v="470"/>
    <x v="1"/>
    <x v="0"/>
    <d v="2022-04-12T00:00:00"/>
    <x v="293"/>
    <x v="0"/>
    <n v="0"/>
  </r>
  <r>
    <s v="L0472"/>
    <s v="Kiran"/>
    <n v="33"/>
    <x v="0"/>
    <x v="1"/>
    <x v="469"/>
    <x v="0"/>
    <x v="323"/>
    <x v="0"/>
    <n v="796706"/>
    <n v="5"/>
    <n v="11.33"/>
    <x v="471"/>
    <x v="2"/>
    <x v="1"/>
    <d v="2023-05-03T00:00:00"/>
    <x v="294"/>
    <x v="0"/>
    <n v="0"/>
  </r>
  <r>
    <s v="L0473"/>
    <s v="Kiran"/>
    <n v="43"/>
    <x v="0"/>
    <x v="0"/>
    <x v="470"/>
    <x v="0"/>
    <x v="204"/>
    <x v="1"/>
    <n v="1921696"/>
    <n v="5"/>
    <n v="8.81"/>
    <x v="472"/>
    <x v="0"/>
    <x v="3"/>
    <d v="2022-08-13T00:00:00"/>
    <x v="295"/>
    <x v="0"/>
    <n v="0"/>
  </r>
  <r>
    <s v="L0474"/>
    <s v="Neha"/>
    <n v="52"/>
    <x v="1"/>
    <x v="0"/>
    <x v="471"/>
    <x v="0"/>
    <x v="324"/>
    <x v="1"/>
    <n v="124001"/>
    <n v="20"/>
    <n v="10.95"/>
    <x v="473"/>
    <x v="1"/>
    <x v="1"/>
    <d v="2023-03-23T00:00:00"/>
    <x v="296"/>
    <x v="0"/>
    <n v="0"/>
  </r>
  <r>
    <s v="L0475"/>
    <s v="Suresh"/>
    <n v="32"/>
    <x v="0"/>
    <x v="1"/>
    <x v="472"/>
    <x v="1"/>
    <x v="325"/>
    <x v="0"/>
    <n v="1918204"/>
    <n v="10"/>
    <n v="9.32"/>
    <x v="474"/>
    <x v="3"/>
    <x v="2"/>
    <d v="2022-02-17T00:00:00"/>
    <x v="217"/>
    <x v="0"/>
    <n v="0"/>
  </r>
  <r>
    <s v="L0476"/>
    <s v="Ravi"/>
    <n v="64"/>
    <x v="1"/>
    <x v="1"/>
    <x v="473"/>
    <x v="0"/>
    <x v="326"/>
    <x v="0"/>
    <n v="1651670"/>
    <n v="20"/>
    <n v="8.39"/>
    <x v="475"/>
    <x v="2"/>
    <x v="3"/>
    <d v="2022-07-13T00:00:00"/>
    <x v="297"/>
    <x v="0"/>
    <n v="0"/>
  </r>
  <r>
    <s v="L0477"/>
    <s v="Priya"/>
    <n v="42"/>
    <x v="0"/>
    <x v="0"/>
    <x v="474"/>
    <x v="0"/>
    <x v="82"/>
    <x v="0"/>
    <n v="114830"/>
    <n v="5"/>
    <n v="8.0299999999999994"/>
    <x v="476"/>
    <x v="1"/>
    <x v="3"/>
    <d v="2023-09-12T00:00:00"/>
    <x v="298"/>
    <x v="0"/>
    <n v="0"/>
  </r>
  <r>
    <s v="L0478"/>
    <s v="Kiran"/>
    <n v="47"/>
    <x v="1"/>
    <x v="0"/>
    <x v="475"/>
    <x v="1"/>
    <x v="196"/>
    <x v="1"/>
    <n v="794503"/>
    <n v="20"/>
    <n v="13.96"/>
    <x v="477"/>
    <x v="2"/>
    <x v="2"/>
    <d v="2024-05-08T00:00:00"/>
    <x v="65"/>
    <x v="1"/>
    <n v="1"/>
  </r>
  <r>
    <s v="L0479"/>
    <s v="Sneha"/>
    <n v="24"/>
    <x v="2"/>
    <x v="1"/>
    <x v="476"/>
    <x v="2"/>
    <x v="133"/>
    <x v="0"/>
    <n v="1744016"/>
    <n v="15"/>
    <n v="9.8699999999999992"/>
    <x v="478"/>
    <x v="1"/>
    <x v="2"/>
    <d v="2023-12-07T00:00:00"/>
    <x v="10"/>
    <x v="2"/>
    <n v="0"/>
  </r>
  <r>
    <s v="L0480"/>
    <s v="Ravi"/>
    <n v="25"/>
    <x v="2"/>
    <x v="0"/>
    <x v="477"/>
    <x v="0"/>
    <x v="327"/>
    <x v="1"/>
    <n v="327599"/>
    <n v="10"/>
    <n v="10.98"/>
    <x v="479"/>
    <x v="2"/>
    <x v="2"/>
    <d v="2024-06-06T00:00:00"/>
    <x v="10"/>
    <x v="2"/>
    <n v="0"/>
  </r>
  <r>
    <s v="L0481"/>
    <s v="Sneha"/>
    <n v="25"/>
    <x v="2"/>
    <x v="1"/>
    <x v="478"/>
    <x v="0"/>
    <x v="328"/>
    <x v="0"/>
    <n v="1165764"/>
    <n v="10"/>
    <n v="12.1"/>
    <x v="480"/>
    <x v="1"/>
    <x v="0"/>
    <d v="2022-07-10T00:00:00"/>
    <x v="56"/>
    <x v="1"/>
    <n v="1"/>
  </r>
  <r>
    <s v="L0482"/>
    <s v="Priya"/>
    <n v="57"/>
    <x v="1"/>
    <x v="0"/>
    <x v="479"/>
    <x v="2"/>
    <x v="329"/>
    <x v="2"/>
    <n v="530460"/>
    <n v="10"/>
    <n v="10.11"/>
    <x v="481"/>
    <x v="0"/>
    <x v="1"/>
    <d v="2024-02-06T00:00:00"/>
    <x v="10"/>
    <x v="2"/>
    <n v="0"/>
  </r>
  <r>
    <s v="L0483"/>
    <s v="Ravi"/>
    <n v="33"/>
    <x v="0"/>
    <x v="1"/>
    <x v="480"/>
    <x v="2"/>
    <x v="330"/>
    <x v="2"/>
    <n v="1939100"/>
    <n v="10"/>
    <n v="14.55"/>
    <x v="482"/>
    <x v="4"/>
    <x v="1"/>
    <d v="2022-08-16T00:00:00"/>
    <x v="299"/>
    <x v="0"/>
    <n v="0"/>
  </r>
  <r>
    <s v="L0484"/>
    <s v="Neha"/>
    <n v="33"/>
    <x v="0"/>
    <x v="1"/>
    <x v="481"/>
    <x v="0"/>
    <x v="64"/>
    <x v="0"/>
    <n v="436977"/>
    <n v="5"/>
    <n v="7.54"/>
    <x v="483"/>
    <x v="3"/>
    <x v="2"/>
    <d v="2022-02-28T00:00:00"/>
    <x v="300"/>
    <x v="0"/>
    <n v="0"/>
  </r>
  <r>
    <s v="L0485"/>
    <s v="Neha"/>
    <n v="62"/>
    <x v="1"/>
    <x v="0"/>
    <x v="482"/>
    <x v="1"/>
    <x v="70"/>
    <x v="1"/>
    <n v="1030777"/>
    <n v="5"/>
    <n v="13.15"/>
    <x v="484"/>
    <x v="0"/>
    <x v="1"/>
    <d v="2023-02-08T00:00:00"/>
    <x v="74"/>
    <x v="0"/>
    <n v="0"/>
  </r>
  <r>
    <s v="L0486"/>
    <s v="Ravi"/>
    <n v="24"/>
    <x v="2"/>
    <x v="1"/>
    <x v="483"/>
    <x v="0"/>
    <x v="311"/>
    <x v="2"/>
    <n v="343195"/>
    <n v="10"/>
    <n v="8.39"/>
    <x v="485"/>
    <x v="1"/>
    <x v="3"/>
    <d v="2023-09-21T00:00:00"/>
    <x v="10"/>
    <x v="2"/>
    <n v="0"/>
  </r>
  <r>
    <s v="L0487"/>
    <s v="Priya"/>
    <n v="55"/>
    <x v="1"/>
    <x v="0"/>
    <x v="484"/>
    <x v="1"/>
    <x v="331"/>
    <x v="2"/>
    <n v="1215914"/>
    <n v="10"/>
    <n v="13.2"/>
    <x v="486"/>
    <x v="1"/>
    <x v="3"/>
    <d v="2023-08-15T00:00:00"/>
    <x v="301"/>
    <x v="0"/>
    <n v="0"/>
  </r>
  <r>
    <s v="L0488"/>
    <s v="Pooja"/>
    <n v="48"/>
    <x v="1"/>
    <x v="0"/>
    <x v="485"/>
    <x v="1"/>
    <x v="221"/>
    <x v="0"/>
    <n v="436403"/>
    <n v="5"/>
    <n v="7.66"/>
    <x v="487"/>
    <x v="4"/>
    <x v="3"/>
    <d v="2023-12-01T00:00:00"/>
    <x v="60"/>
    <x v="0"/>
    <n v="0"/>
  </r>
  <r>
    <s v="L0489"/>
    <s v="Ankit"/>
    <n v="58"/>
    <x v="1"/>
    <x v="0"/>
    <x v="486"/>
    <x v="0"/>
    <x v="332"/>
    <x v="0"/>
    <n v="1875024"/>
    <n v="5"/>
    <n v="8.5399999999999991"/>
    <x v="488"/>
    <x v="2"/>
    <x v="3"/>
    <d v="2023-10-26T00:00:00"/>
    <x v="302"/>
    <x v="1"/>
    <n v="1"/>
  </r>
  <r>
    <s v="L0490"/>
    <s v="Ravi"/>
    <n v="65"/>
    <x v="1"/>
    <x v="0"/>
    <x v="487"/>
    <x v="0"/>
    <x v="81"/>
    <x v="1"/>
    <n v="1568901"/>
    <n v="5"/>
    <n v="7.65"/>
    <x v="489"/>
    <x v="0"/>
    <x v="3"/>
    <d v="2022-10-11T00:00:00"/>
    <x v="85"/>
    <x v="1"/>
    <n v="1"/>
  </r>
  <r>
    <s v="L0491"/>
    <s v="Sneha"/>
    <n v="61"/>
    <x v="1"/>
    <x v="1"/>
    <x v="488"/>
    <x v="0"/>
    <x v="23"/>
    <x v="2"/>
    <n v="352235"/>
    <n v="15"/>
    <n v="9.98"/>
    <x v="490"/>
    <x v="4"/>
    <x v="3"/>
    <d v="2022-12-20T00:00:00"/>
    <x v="180"/>
    <x v="0"/>
    <n v="0"/>
  </r>
  <r>
    <s v="L0492"/>
    <s v="Ankit"/>
    <n v="53"/>
    <x v="1"/>
    <x v="0"/>
    <x v="489"/>
    <x v="1"/>
    <x v="333"/>
    <x v="0"/>
    <n v="770619"/>
    <n v="20"/>
    <n v="10.89"/>
    <x v="491"/>
    <x v="3"/>
    <x v="2"/>
    <d v="2022-10-04T00:00:00"/>
    <x v="303"/>
    <x v="1"/>
    <n v="1"/>
  </r>
  <r>
    <s v="L0493"/>
    <s v="Rahul"/>
    <n v="30"/>
    <x v="0"/>
    <x v="0"/>
    <x v="490"/>
    <x v="1"/>
    <x v="294"/>
    <x v="0"/>
    <n v="887234"/>
    <n v="15"/>
    <n v="12.26"/>
    <x v="492"/>
    <x v="0"/>
    <x v="3"/>
    <d v="2022-04-14T00:00:00"/>
    <x v="18"/>
    <x v="0"/>
    <n v="0"/>
  </r>
  <r>
    <s v="L0494"/>
    <s v="Ankit"/>
    <n v="35"/>
    <x v="0"/>
    <x v="0"/>
    <x v="491"/>
    <x v="1"/>
    <x v="334"/>
    <x v="0"/>
    <n v="1289831"/>
    <n v="10"/>
    <n v="14.69"/>
    <x v="493"/>
    <x v="3"/>
    <x v="0"/>
    <d v="2024-05-20T00:00:00"/>
    <x v="256"/>
    <x v="1"/>
    <n v="1"/>
  </r>
  <r>
    <s v="L0495"/>
    <s v="Neha"/>
    <n v="38"/>
    <x v="0"/>
    <x v="0"/>
    <x v="492"/>
    <x v="2"/>
    <x v="335"/>
    <x v="0"/>
    <n v="374046"/>
    <n v="20"/>
    <n v="8.5500000000000007"/>
    <x v="494"/>
    <x v="2"/>
    <x v="2"/>
    <d v="2022-11-18T00:00:00"/>
    <x v="304"/>
    <x v="0"/>
    <n v="0"/>
  </r>
  <r>
    <s v="L0496"/>
    <s v="Pooja"/>
    <n v="46"/>
    <x v="1"/>
    <x v="1"/>
    <x v="493"/>
    <x v="2"/>
    <x v="190"/>
    <x v="2"/>
    <n v="1880899"/>
    <n v="15"/>
    <n v="9.02"/>
    <x v="495"/>
    <x v="4"/>
    <x v="2"/>
    <d v="2023-04-16T00:00:00"/>
    <x v="294"/>
    <x v="0"/>
    <n v="0"/>
  </r>
  <r>
    <s v="L0497"/>
    <s v="Kiran"/>
    <n v="64"/>
    <x v="1"/>
    <x v="0"/>
    <x v="494"/>
    <x v="0"/>
    <x v="332"/>
    <x v="0"/>
    <n v="1022844"/>
    <n v="15"/>
    <n v="7.29"/>
    <x v="496"/>
    <x v="3"/>
    <x v="0"/>
    <d v="2023-03-21T00:00:00"/>
    <x v="48"/>
    <x v="0"/>
    <n v="0"/>
  </r>
  <r>
    <s v="L0498"/>
    <s v="Sneha"/>
    <n v="54"/>
    <x v="1"/>
    <x v="1"/>
    <x v="495"/>
    <x v="1"/>
    <x v="273"/>
    <x v="0"/>
    <n v="1908064"/>
    <n v="10"/>
    <n v="11.53"/>
    <x v="497"/>
    <x v="1"/>
    <x v="0"/>
    <d v="2022-06-18T00:00:00"/>
    <x v="305"/>
    <x v="0"/>
    <n v="0"/>
  </r>
  <r>
    <s v="L0499"/>
    <s v="Sneha"/>
    <n v="24"/>
    <x v="2"/>
    <x v="0"/>
    <x v="496"/>
    <x v="1"/>
    <x v="18"/>
    <x v="1"/>
    <n v="748004"/>
    <n v="15"/>
    <n v="13.09"/>
    <x v="498"/>
    <x v="2"/>
    <x v="1"/>
    <d v="2022-08-19T00:00:00"/>
    <x v="108"/>
    <x v="0"/>
    <n v="0"/>
  </r>
  <r>
    <s v="L0500"/>
    <s v="Rahul"/>
    <n v="24"/>
    <x v="2"/>
    <x v="0"/>
    <x v="497"/>
    <x v="2"/>
    <x v="336"/>
    <x v="0"/>
    <n v="1825128"/>
    <n v="20"/>
    <n v="8.52"/>
    <x v="499"/>
    <x v="3"/>
    <x v="0"/>
    <d v="2022-11-04T00:00:00"/>
    <x v="306"/>
    <x v="0"/>
    <n v="0"/>
  </r>
  <r>
    <m/>
    <m/>
    <m/>
    <x v="3"/>
    <x v="2"/>
    <x v="498"/>
    <x v="3"/>
    <x v="337"/>
    <x v="3"/>
    <m/>
    <m/>
    <m/>
    <x v="500"/>
    <x v="5"/>
    <x v="4"/>
    <m/>
    <x v="10"/>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D47CC2-3225-48F3-8D3D-7E66630E683A}"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9">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7">
        <item x="4"/>
        <item x="1"/>
        <item x="0"/>
        <item x="3"/>
        <item x="2"/>
        <item x="5"/>
        <item t="default"/>
      </items>
    </pivotField>
    <pivotField showAll="0">
      <items count="6">
        <item x="2"/>
        <item x="0"/>
        <item x="1"/>
        <item x="3"/>
        <item x="4"/>
        <item t="default"/>
      </items>
    </pivotField>
    <pivotField showAll="0"/>
    <pivotField showAll="0">
      <items count="308">
        <item x="227"/>
        <item x="274"/>
        <item x="277"/>
        <item x="143"/>
        <item x="145"/>
        <item x="110"/>
        <item x="122"/>
        <item x="151"/>
        <item x="162"/>
        <item x="268"/>
        <item x="39"/>
        <item x="229"/>
        <item x="264"/>
        <item x="172"/>
        <item x="217"/>
        <item x="125"/>
        <item x="45"/>
        <item x="24"/>
        <item x="300"/>
        <item x="169"/>
        <item x="57"/>
        <item x="228"/>
        <item x="237"/>
        <item x="133"/>
        <item x="204"/>
        <item x="258"/>
        <item x="192"/>
        <item x="50"/>
        <item x="270"/>
        <item x="121"/>
        <item x="124"/>
        <item x="213"/>
        <item x="33"/>
        <item x="293"/>
        <item x="79"/>
        <item x="18"/>
        <item x="80"/>
        <item x="225"/>
        <item x="98"/>
        <item x="63"/>
        <item x="215"/>
        <item x="44"/>
        <item x="275"/>
        <item x="235"/>
        <item x="30"/>
        <item x="177"/>
        <item x="142"/>
        <item x="190"/>
        <item x="247"/>
        <item x="199"/>
        <item x="105"/>
        <item x="67"/>
        <item x="197"/>
        <item x="282"/>
        <item x="265"/>
        <item x="25"/>
        <item x="305"/>
        <item x="206"/>
        <item x="244"/>
        <item x="194"/>
        <item x="71"/>
        <item x="51"/>
        <item x="262"/>
        <item x="70"/>
        <item x="168"/>
        <item x="23"/>
        <item x="147"/>
        <item x="88"/>
        <item x="209"/>
        <item x="37"/>
        <item x="56"/>
        <item x="272"/>
        <item x="173"/>
        <item x="297"/>
        <item x="43"/>
        <item x="248"/>
        <item x="158"/>
        <item x="101"/>
        <item x="186"/>
        <item x="281"/>
        <item x="295"/>
        <item x="207"/>
        <item x="46"/>
        <item x="83"/>
        <item x="140"/>
        <item x="159"/>
        <item x="299"/>
        <item x="191"/>
        <item x="108"/>
        <item x="179"/>
        <item x="203"/>
        <item x="202"/>
        <item x="266"/>
        <item x="254"/>
        <item x="119"/>
        <item x="66"/>
        <item x="253"/>
        <item x="230"/>
        <item x="15"/>
        <item x="114"/>
        <item x="221"/>
        <item x="220"/>
        <item x="40"/>
        <item x="19"/>
        <item x="164"/>
        <item x="153"/>
        <item x="224"/>
        <item x="31"/>
        <item x="303"/>
        <item x="47"/>
        <item x="68"/>
        <item x="53"/>
        <item x="127"/>
        <item x="85"/>
        <item x="234"/>
        <item x="198"/>
        <item x="157"/>
        <item x="78"/>
        <item x="8"/>
        <item x="306"/>
        <item x="103"/>
        <item x="183"/>
        <item x="287"/>
        <item x="69"/>
        <item x="26"/>
        <item x="95"/>
        <item x="304"/>
        <item x="135"/>
        <item x="155"/>
        <item x="4"/>
        <item x="278"/>
        <item x="13"/>
        <item x="161"/>
        <item x="160"/>
        <item x="132"/>
        <item x="117"/>
        <item x="249"/>
        <item x="58"/>
        <item x="180"/>
        <item x="72"/>
        <item x="123"/>
        <item x="62"/>
        <item x="34"/>
        <item x="29"/>
        <item x="112"/>
        <item x="141"/>
        <item x="288"/>
        <item x="273"/>
        <item x="113"/>
        <item x="126"/>
        <item x="219"/>
        <item x="210"/>
        <item x="251"/>
        <item x="74"/>
        <item x="75"/>
        <item x="241"/>
        <item x="250"/>
        <item x="223"/>
        <item x="285"/>
        <item x="17"/>
        <item x="35"/>
        <item x="178"/>
        <item x="243"/>
        <item x="48"/>
        <item x="111"/>
        <item x="2"/>
        <item x="146"/>
        <item x="118"/>
        <item x="11"/>
        <item x="296"/>
        <item x="276"/>
        <item x="170"/>
        <item x="28"/>
        <item x="242"/>
        <item x="232"/>
        <item x="20"/>
        <item x="77"/>
        <item x="279"/>
        <item x="99"/>
        <item x="184"/>
        <item x="5"/>
        <item x="267"/>
        <item x="294"/>
        <item x="212"/>
        <item x="290"/>
        <item x="181"/>
        <item x="269"/>
        <item x="138"/>
        <item x="0"/>
        <item x="27"/>
        <item x="200"/>
        <item x="201"/>
        <item x="196"/>
        <item x="54"/>
        <item x="52"/>
        <item x="7"/>
        <item x="195"/>
        <item x="226"/>
        <item x="286"/>
        <item x="233"/>
        <item x="129"/>
        <item x="131"/>
        <item x="89"/>
        <item x="182"/>
        <item x="185"/>
        <item x="93"/>
        <item x="76"/>
        <item x="32"/>
        <item x="109"/>
        <item x="3"/>
        <item x="193"/>
        <item x="152"/>
        <item x="148"/>
        <item x="188"/>
        <item x="289"/>
        <item x="22"/>
        <item x="82"/>
        <item x="255"/>
        <item x="301"/>
        <item x="97"/>
        <item x="94"/>
        <item x="144"/>
        <item x="92"/>
        <item x="134"/>
        <item x="73"/>
        <item x="222"/>
        <item x="238"/>
        <item x="139"/>
        <item x="298"/>
        <item x="41"/>
        <item x="166"/>
        <item x="136"/>
        <item x="236"/>
        <item x="174"/>
        <item x="239"/>
        <item x="154"/>
        <item x="245"/>
        <item x="302"/>
        <item x="130"/>
        <item x="84"/>
        <item x="176"/>
        <item x="96"/>
        <item x="128"/>
        <item x="231"/>
        <item x="218"/>
        <item x="12"/>
        <item x="292"/>
        <item x="137"/>
        <item x="60"/>
        <item x="156"/>
        <item x="90"/>
        <item x="150"/>
        <item x="165"/>
        <item x="216"/>
        <item x="284"/>
        <item x="55"/>
        <item x="64"/>
        <item x="36"/>
        <item x="211"/>
        <item x="283"/>
        <item x="120"/>
        <item x="259"/>
        <item x="240"/>
        <item x="1"/>
        <item x="205"/>
        <item x="261"/>
        <item x="246"/>
        <item x="42"/>
        <item x="163"/>
        <item x="14"/>
        <item x="263"/>
        <item x="257"/>
        <item x="149"/>
        <item x="260"/>
        <item x="38"/>
        <item x="252"/>
        <item x="91"/>
        <item x="100"/>
        <item x="49"/>
        <item x="86"/>
        <item x="81"/>
        <item x="87"/>
        <item x="9"/>
        <item x="61"/>
        <item x="208"/>
        <item x="189"/>
        <item x="187"/>
        <item x="214"/>
        <item x="106"/>
        <item x="21"/>
        <item x="167"/>
        <item x="107"/>
        <item x="65"/>
        <item x="115"/>
        <item x="116"/>
        <item x="6"/>
        <item x="175"/>
        <item x="271"/>
        <item x="59"/>
        <item x="102"/>
        <item x="256"/>
        <item x="291"/>
        <item x="171"/>
        <item x="16"/>
        <item x="104"/>
        <item x="280"/>
        <item x="10"/>
        <item t="default"/>
      </items>
    </pivotField>
    <pivotField showAll="0">
      <items count="5">
        <item x="0"/>
        <item x="1"/>
        <item x="2"/>
        <item x="3"/>
        <item t="default"/>
      </items>
    </pivotField>
    <pivotField showAll="0"/>
  </pivotFields>
  <rowItems count="1">
    <i/>
  </rowItems>
  <colItems count="1">
    <i/>
  </colItems>
  <dataFields count="1">
    <dataField name="Sum of Credit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1F7B2A-8736-48EB-BCDD-46E12F2FD45E}"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9">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4"/>
        <item x="1"/>
        <item x="0"/>
        <item x="3"/>
        <item x="2"/>
        <item x="5"/>
        <item t="default"/>
      </items>
    </pivotField>
    <pivotField showAll="0">
      <items count="6">
        <item x="2"/>
        <item x="0"/>
        <item x="1"/>
        <item x="3"/>
        <item x="4"/>
        <item t="default"/>
      </items>
    </pivotField>
    <pivotField showAll="0"/>
    <pivotField showAll="0">
      <items count="308">
        <item x="227"/>
        <item x="274"/>
        <item x="277"/>
        <item x="143"/>
        <item x="145"/>
        <item x="110"/>
        <item x="122"/>
        <item x="151"/>
        <item x="162"/>
        <item x="268"/>
        <item x="39"/>
        <item x="229"/>
        <item x="264"/>
        <item x="172"/>
        <item x="217"/>
        <item x="125"/>
        <item x="45"/>
        <item x="24"/>
        <item x="300"/>
        <item x="169"/>
        <item x="57"/>
        <item x="228"/>
        <item x="237"/>
        <item x="133"/>
        <item x="204"/>
        <item x="258"/>
        <item x="192"/>
        <item x="50"/>
        <item x="270"/>
        <item x="121"/>
        <item x="124"/>
        <item x="213"/>
        <item x="33"/>
        <item x="293"/>
        <item x="79"/>
        <item x="18"/>
        <item x="80"/>
        <item x="225"/>
        <item x="98"/>
        <item x="63"/>
        <item x="215"/>
        <item x="44"/>
        <item x="275"/>
        <item x="235"/>
        <item x="30"/>
        <item x="177"/>
        <item x="142"/>
        <item x="190"/>
        <item x="247"/>
        <item x="199"/>
        <item x="105"/>
        <item x="67"/>
        <item x="197"/>
        <item x="282"/>
        <item x="265"/>
        <item x="25"/>
        <item x="305"/>
        <item x="206"/>
        <item x="244"/>
        <item x="194"/>
        <item x="71"/>
        <item x="51"/>
        <item x="262"/>
        <item x="70"/>
        <item x="168"/>
        <item x="23"/>
        <item x="147"/>
        <item x="88"/>
        <item x="209"/>
        <item x="37"/>
        <item x="56"/>
        <item x="272"/>
        <item x="173"/>
        <item x="297"/>
        <item x="43"/>
        <item x="248"/>
        <item x="158"/>
        <item x="101"/>
        <item x="186"/>
        <item x="281"/>
        <item x="295"/>
        <item x="207"/>
        <item x="46"/>
        <item x="83"/>
        <item x="140"/>
        <item x="159"/>
        <item x="299"/>
        <item x="191"/>
        <item x="108"/>
        <item x="179"/>
        <item x="203"/>
        <item x="202"/>
        <item x="266"/>
        <item x="254"/>
        <item x="119"/>
        <item x="66"/>
        <item x="253"/>
        <item x="230"/>
        <item x="15"/>
        <item x="114"/>
        <item x="221"/>
        <item x="220"/>
        <item x="40"/>
        <item x="19"/>
        <item x="164"/>
        <item x="153"/>
        <item x="224"/>
        <item x="31"/>
        <item x="303"/>
        <item x="47"/>
        <item x="68"/>
        <item x="53"/>
        <item x="127"/>
        <item x="85"/>
        <item x="234"/>
        <item x="198"/>
        <item x="157"/>
        <item x="78"/>
        <item x="8"/>
        <item x="306"/>
        <item x="103"/>
        <item x="183"/>
        <item x="287"/>
        <item x="69"/>
        <item x="26"/>
        <item x="95"/>
        <item x="304"/>
        <item x="135"/>
        <item x="155"/>
        <item x="4"/>
        <item x="278"/>
        <item x="13"/>
        <item x="161"/>
        <item x="160"/>
        <item x="132"/>
        <item x="117"/>
        <item x="249"/>
        <item x="58"/>
        <item x="180"/>
        <item x="72"/>
        <item x="123"/>
        <item x="62"/>
        <item x="34"/>
        <item x="29"/>
        <item x="112"/>
        <item x="141"/>
        <item x="288"/>
        <item x="273"/>
        <item x="113"/>
        <item x="126"/>
        <item x="219"/>
        <item x="210"/>
        <item x="251"/>
        <item x="74"/>
        <item x="75"/>
        <item x="241"/>
        <item x="250"/>
        <item x="223"/>
        <item x="285"/>
        <item x="17"/>
        <item x="35"/>
        <item x="178"/>
        <item x="243"/>
        <item x="48"/>
        <item x="111"/>
        <item x="2"/>
        <item x="146"/>
        <item x="118"/>
        <item x="11"/>
        <item x="296"/>
        <item x="276"/>
        <item x="170"/>
        <item x="28"/>
        <item x="242"/>
        <item x="232"/>
        <item x="20"/>
        <item x="77"/>
        <item x="279"/>
        <item x="99"/>
        <item x="184"/>
        <item x="5"/>
        <item x="267"/>
        <item x="294"/>
        <item x="212"/>
        <item x="290"/>
        <item x="181"/>
        <item x="269"/>
        <item x="138"/>
        <item x="0"/>
        <item x="27"/>
        <item x="200"/>
        <item x="201"/>
        <item x="196"/>
        <item x="54"/>
        <item x="52"/>
        <item x="7"/>
        <item x="195"/>
        <item x="226"/>
        <item x="286"/>
        <item x="233"/>
        <item x="129"/>
        <item x="131"/>
        <item x="89"/>
        <item x="182"/>
        <item x="185"/>
        <item x="93"/>
        <item x="76"/>
        <item x="32"/>
        <item x="109"/>
        <item x="3"/>
        <item x="193"/>
        <item x="152"/>
        <item x="148"/>
        <item x="188"/>
        <item x="289"/>
        <item x="22"/>
        <item x="82"/>
        <item x="255"/>
        <item x="301"/>
        <item x="97"/>
        <item x="94"/>
        <item x="144"/>
        <item x="92"/>
        <item x="134"/>
        <item x="73"/>
        <item x="222"/>
        <item x="238"/>
        <item x="139"/>
        <item x="298"/>
        <item x="41"/>
        <item x="166"/>
        <item x="136"/>
        <item x="236"/>
        <item x="174"/>
        <item x="239"/>
        <item x="154"/>
        <item x="245"/>
        <item x="302"/>
        <item x="130"/>
        <item x="84"/>
        <item x="176"/>
        <item x="96"/>
        <item x="128"/>
        <item x="231"/>
        <item x="218"/>
        <item x="12"/>
        <item x="292"/>
        <item x="137"/>
        <item x="60"/>
        <item x="156"/>
        <item x="90"/>
        <item x="150"/>
        <item x="165"/>
        <item x="216"/>
        <item x="284"/>
        <item x="55"/>
        <item x="64"/>
        <item x="36"/>
        <item x="211"/>
        <item x="283"/>
        <item x="120"/>
        <item x="259"/>
        <item x="240"/>
        <item x="1"/>
        <item x="205"/>
        <item x="261"/>
        <item x="246"/>
        <item x="42"/>
        <item x="163"/>
        <item x="14"/>
        <item x="263"/>
        <item x="257"/>
        <item x="149"/>
        <item x="260"/>
        <item x="38"/>
        <item x="252"/>
        <item x="91"/>
        <item x="100"/>
        <item x="49"/>
        <item x="86"/>
        <item x="81"/>
        <item x="87"/>
        <item x="9"/>
        <item x="61"/>
        <item x="208"/>
        <item x="189"/>
        <item x="187"/>
        <item x="214"/>
        <item x="106"/>
        <item x="21"/>
        <item x="167"/>
        <item x="107"/>
        <item x="65"/>
        <item x="115"/>
        <item x="116"/>
        <item x="6"/>
        <item x="175"/>
        <item x="271"/>
        <item x="59"/>
        <item x="102"/>
        <item x="256"/>
        <item x="291"/>
        <item x="171"/>
        <item x="16"/>
        <item x="104"/>
        <item x="280"/>
        <item x="10"/>
        <item t="default"/>
      </items>
    </pivotField>
    <pivotField showAll="0">
      <items count="5">
        <item x="0"/>
        <item x="1"/>
        <item x="2"/>
        <item x="3"/>
        <item t="default"/>
      </items>
    </pivotField>
    <pivotField showAll="0"/>
  </pivotFields>
  <rowItems count="1">
    <i/>
  </rowItems>
  <colItems count="1">
    <i/>
  </colItems>
  <dataFields count="1">
    <dataField name="Sum of Loan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5B0AC3-9799-4BE6-A196-06DDEFD061FC}"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5:B41" firstHeaderRow="1" firstDataRow="1" firstDataCol="1"/>
  <pivotFields count="19">
    <pivotField showAll="0"/>
    <pivotField showAll="0"/>
    <pivotField showAll="0"/>
    <pivotField showAll="0"/>
    <pivotField showAll="0"/>
    <pivotField showAll="0">
      <items count="500">
        <item x="467"/>
        <item x="8"/>
        <item x="120"/>
        <item x="356"/>
        <item x="14"/>
        <item x="30"/>
        <item x="405"/>
        <item x="221"/>
        <item x="78"/>
        <item x="6"/>
        <item x="366"/>
        <item x="360"/>
        <item x="314"/>
        <item x="379"/>
        <item x="423"/>
        <item x="223"/>
        <item x="292"/>
        <item x="103"/>
        <item x="182"/>
        <item x="359"/>
        <item x="1"/>
        <item x="262"/>
        <item x="160"/>
        <item x="34"/>
        <item x="141"/>
        <item x="45"/>
        <item x="165"/>
        <item x="105"/>
        <item x="79"/>
        <item x="471"/>
        <item x="394"/>
        <item x="2"/>
        <item x="435"/>
        <item x="398"/>
        <item x="59"/>
        <item x="131"/>
        <item x="261"/>
        <item x="482"/>
        <item x="98"/>
        <item x="266"/>
        <item x="136"/>
        <item x="395"/>
        <item x="203"/>
        <item x="441"/>
        <item x="200"/>
        <item x="475"/>
        <item x="194"/>
        <item x="295"/>
        <item x="172"/>
        <item x="56"/>
        <item x="52"/>
        <item x="134"/>
        <item x="403"/>
        <item x="255"/>
        <item x="189"/>
        <item x="377"/>
        <item x="124"/>
        <item x="457"/>
        <item x="33"/>
        <item x="459"/>
        <item x="161"/>
        <item x="88"/>
        <item x="153"/>
        <item x="348"/>
        <item x="74"/>
        <item x="304"/>
        <item x="127"/>
        <item x="197"/>
        <item x="212"/>
        <item x="49"/>
        <item x="0"/>
        <item x="143"/>
        <item x="272"/>
        <item x="68"/>
        <item x="462"/>
        <item x="53"/>
        <item x="493"/>
        <item x="253"/>
        <item x="278"/>
        <item x="329"/>
        <item x="109"/>
        <item x="93"/>
        <item x="417"/>
        <item x="474"/>
        <item x="177"/>
        <item x="323"/>
        <item x="353"/>
        <item x="154"/>
        <item x="248"/>
        <item x="95"/>
        <item x="385"/>
        <item x="235"/>
        <item x="270"/>
        <item x="458"/>
        <item x="449"/>
        <item x="452"/>
        <item x="415"/>
        <item x="351"/>
        <item x="267"/>
        <item x="181"/>
        <item x="106"/>
        <item x="427"/>
        <item x="83"/>
        <item x="44"/>
        <item x="381"/>
        <item x="440"/>
        <item x="145"/>
        <item x="174"/>
        <item x="70"/>
        <item x="336"/>
        <item x="438"/>
        <item x="249"/>
        <item x="320"/>
        <item x="60"/>
        <item x="99"/>
        <item x="195"/>
        <item x="283"/>
        <item x="121"/>
        <item x="297"/>
        <item x="473"/>
        <item x="260"/>
        <item x="317"/>
        <item x="69"/>
        <item x="236"/>
        <item x="128"/>
        <item x="367"/>
        <item x="446"/>
        <item x="210"/>
        <item x="216"/>
        <item x="178"/>
        <item x="373"/>
        <item x="162"/>
        <item x="75"/>
        <item x="39"/>
        <item x="305"/>
        <item x="497"/>
        <item x="137"/>
        <item x="32"/>
        <item x="247"/>
        <item x="470"/>
        <item x="28"/>
        <item x="176"/>
        <item x="209"/>
        <item x="186"/>
        <item x="301"/>
        <item x="202"/>
        <item x="273"/>
        <item x="113"/>
        <item x="400"/>
        <item x="227"/>
        <item x="392"/>
        <item x="285"/>
        <item x="416"/>
        <item x="193"/>
        <item x="483"/>
        <item x="443"/>
        <item x="256"/>
        <item x="322"/>
        <item x="215"/>
        <item x="146"/>
        <item x="307"/>
        <item x="156"/>
        <item x="10"/>
        <item x="299"/>
        <item x="397"/>
        <item x="433"/>
        <item x="340"/>
        <item x="258"/>
        <item x="342"/>
        <item x="26"/>
        <item x="140"/>
        <item x="463"/>
        <item x="321"/>
        <item x="82"/>
        <item x="43"/>
        <item x="229"/>
        <item x="50"/>
        <item x="426"/>
        <item x="11"/>
        <item x="325"/>
        <item x="104"/>
        <item x="7"/>
        <item x="265"/>
        <item x="388"/>
        <item x="91"/>
        <item x="94"/>
        <item x="460"/>
        <item x="306"/>
        <item x="238"/>
        <item x="380"/>
        <item x="198"/>
        <item x="67"/>
        <item x="422"/>
        <item x="284"/>
        <item x="428"/>
        <item x="332"/>
        <item x="363"/>
        <item x="230"/>
        <item x="63"/>
        <item x="401"/>
        <item x="226"/>
        <item x="244"/>
        <item x="119"/>
        <item x="168"/>
        <item x="412"/>
        <item x="191"/>
        <item x="432"/>
        <item x="327"/>
        <item x="315"/>
        <item x="41"/>
        <item x="478"/>
        <item x="429"/>
        <item x="494"/>
        <item x="16"/>
        <item x="207"/>
        <item x="302"/>
        <item x="85"/>
        <item x="180"/>
        <item x="445"/>
        <item x="185"/>
        <item x="183"/>
        <item x="192"/>
        <item x="157"/>
        <item x="64"/>
        <item x="324"/>
        <item x="437"/>
        <item x="310"/>
        <item x="90"/>
        <item x="420"/>
        <item x="240"/>
        <item x="228"/>
        <item x="89"/>
        <item x="268"/>
        <item x="296"/>
        <item x="282"/>
        <item x="424"/>
        <item x="444"/>
        <item x="294"/>
        <item x="404"/>
        <item x="72"/>
        <item x="376"/>
        <item x="328"/>
        <item x="46"/>
        <item x="96"/>
        <item x="364"/>
        <item x="453"/>
        <item x="391"/>
        <item x="421"/>
        <item x="92"/>
        <item x="274"/>
        <item x="496"/>
        <item x="166"/>
        <item x="326"/>
        <item x="442"/>
        <item x="289"/>
        <item x="477"/>
        <item x="184"/>
        <item x="487"/>
        <item x="118"/>
        <item x="298"/>
        <item x="387"/>
        <item x="204"/>
        <item x="97"/>
        <item x="48"/>
        <item x="486"/>
        <item x="139"/>
        <item x="151"/>
        <item x="277"/>
        <item x="362"/>
        <item x="12"/>
        <item x="309"/>
        <item x="411"/>
        <item x="173"/>
        <item x="170"/>
        <item x="254"/>
        <item x="61"/>
        <item x="308"/>
        <item x="303"/>
        <item x="343"/>
        <item x="481"/>
        <item x="201"/>
        <item x="334"/>
        <item x="337"/>
        <item x="218"/>
        <item x="358"/>
        <item x="413"/>
        <item x="22"/>
        <item x="234"/>
        <item x="224"/>
        <item x="237"/>
        <item x="158"/>
        <item x="73"/>
        <item x="350"/>
        <item x="111"/>
        <item x="492"/>
        <item x="352"/>
        <item x="318"/>
        <item x="101"/>
        <item x="54"/>
        <item x="251"/>
        <item x="232"/>
        <item x="179"/>
        <item x="479"/>
        <item x="13"/>
        <item x="115"/>
        <item x="187"/>
        <item x="233"/>
        <item x="71"/>
        <item x="132"/>
        <item x="24"/>
        <item x="287"/>
        <item x="130"/>
        <item x="259"/>
        <item x="383"/>
        <item x="436"/>
        <item x="148"/>
        <item x="149"/>
        <item x="163"/>
        <item x="257"/>
        <item x="491"/>
        <item x="341"/>
        <item x="365"/>
        <item x="484"/>
        <item x="126"/>
        <item x="375"/>
        <item x="164"/>
        <item x="108"/>
        <item x="217"/>
        <item x="407"/>
        <item x="279"/>
        <item x="430"/>
        <item x="40"/>
        <item x="125"/>
        <item x="465"/>
        <item x="171"/>
        <item x="390"/>
        <item x="269"/>
        <item x="190"/>
        <item x="263"/>
        <item x="280"/>
        <item x="454"/>
        <item x="409"/>
        <item x="38"/>
        <item x="293"/>
        <item x="300"/>
        <item x="472"/>
        <item x="25"/>
        <item x="243"/>
        <item x="374"/>
        <item x="431"/>
        <item x="402"/>
        <item x="393"/>
        <item x="286"/>
        <item x="368"/>
        <item x="135"/>
        <item x="288"/>
        <item x="246"/>
        <item x="370"/>
        <item x="206"/>
        <item x="5"/>
        <item x="19"/>
        <item x="355"/>
        <item x="495"/>
        <item x="17"/>
        <item x="114"/>
        <item x="29"/>
        <item x="4"/>
        <item x="219"/>
        <item x="205"/>
        <item x="439"/>
        <item x="361"/>
        <item x="276"/>
        <item x="466"/>
        <item x="335"/>
        <item x="76"/>
        <item x="448"/>
        <item x="346"/>
        <item x="316"/>
        <item x="447"/>
        <item x="414"/>
        <item x="425"/>
        <item x="396"/>
        <item x="331"/>
        <item x="372"/>
        <item x="339"/>
        <item x="110"/>
        <item x="330"/>
        <item x="291"/>
        <item x="250"/>
        <item x="36"/>
        <item x="155"/>
        <item x="147"/>
        <item x="386"/>
        <item x="80"/>
        <item x="77"/>
        <item x="312"/>
        <item x="122"/>
        <item x="27"/>
        <item x="66"/>
        <item x="23"/>
        <item x="81"/>
        <item x="489"/>
        <item x="138"/>
        <item x="55"/>
        <item x="169"/>
        <item x="271"/>
        <item x="384"/>
        <item x="15"/>
        <item x="112"/>
        <item x="18"/>
        <item x="389"/>
        <item x="464"/>
        <item x="84"/>
        <item x="144"/>
        <item x="468"/>
        <item x="214"/>
        <item x="488"/>
        <item x="167"/>
        <item x="86"/>
        <item x="450"/>
        <item x="20"/>
        <item x="485"/>
        <item x="129"/>
        <item x="3"/>
        <item x="87"/>
        <item x="222"/>
        <item x="345"/>
        <item x="117"/>
        <item x="382"/>
        <item x="476"/>
        <item x="58"/>
        <item x="264"/>
        <item x="65"/>
        <item x="408"/>
        <item x="378"/>
        <item x="175"/>
        <item x="406"/>
        <item x="220"/>
        <item x="37"/>
        <item x="290"/>
        <item x="245"/>
        <item x="461"/>
        <item x="199"/>
        <item x="344"/>
        <item x="208"/>
        <item x="225"/>
        <item x="231"/>
        <item x="311"/>
        <item x="369"/>
        <item x="133"/>
        <item x="456"/>
        <item x="47"/>
        <item x="399"/>
        <item x="242"/>
        <item x="490"/>
        <item x="239"/>
        <item x="410"/>
        <item x="35"/>
        <item x="252"/>
        <item x="434"/>
        <item x="102"/>
        <item x="42"/>
        <item x="21"/>
        <item x="451"/>
        <item x="213"/>
        <item x="116"/>
        <item x="480"/>
        <item x="123"/>
        <item x="211"/>
        <item x="107"/>
        <item x="469"/>
        <item x="338"/>
        <item x="159"/>
        <item x="371"/>
        <item x="357"/>
        <item x="313"/>
        <item x="354"/>
        <item x="142"/>
        <item x="275"/>
        <item x="31"/>
        <item x="57"/>
        <item x="455"/>
        <item x="281"/>
        <item x="51"/>
        <item x="241"/>
        <item x="419"/>
        <item x="196"/>
        <item x="333"/>
        <item x="319"/>
        <item x="418"/>
        <item x="9"/>
        <item x="100"/>
        <item x="188"/>
        <item x="150"/>
        <item x="152"/>
        <item x="347"/>
        <item x="62"/>
        <item x="349"/>
        <item x="498"/>
        <item t="default"/>
      </items>
    </pivotField>
    <pivotField showAll="0">
      <items count="5">
        <item x="0"/>
        <item x="2"/>
        <item x="1"/>
        <item x="3"/>
        <item t="default"/>
      </items>
    </pivotField>
    <pivotField showAll="0"/>
    <pivotField showAll="0"/>
    <pivotField dataField="1" showAll="0"/>
    <pivotField showAll="0"/>
    <pivotField showAll="0"/>
    <pivotField showAll="0"/>
    <pivotField showAll="0">
      <items count="7">
        <item x="4"/>
        <item x="1"/>
        <item x="0"/>
        <item x="3"/>
        <item x="2"/>
        <item x="5"/>
        <item t="default"/>
      </items>
    </pivotField>
    <pivotField axis="axisRow" showAll="0">
      <items count="6">
        <item sd="0" x="2"/>
        <item sd="0" x="0"/>
        <item sd="0" x="1"/>
        <item sd="0" x="3"/>
        <item sd="0" x="4"/>
        <item t="default" sd="0"/>
      </items>
    </pivotField>
    <pivotField showAll="0"/>
    <pivotField showAll="0">
      <items count="308">
        <item x="227"/>
        <item x="274"/>
        <item x="277"/>
        <item x="143"/>
        <item x="145"/>
        <item x="110"/>
        <item x="122"/>
        <item x="151"/>
        <item x="162"/>
        <item x="268"/>
        <item x="39"/>
        <item x="229"/>
        <item x="264"/>
        <item x="172"/>
        <item x="217"/>
        <item x="125"/>
        <item x="45"/>
        <item x="24"/>
        <item x="300"/>
        <item x="169"/>
        <item x="57"/>
        <item x="228"/>
        <item x="237"/>
        <item x="133"/>
        <item x="204"/>
        <item x="258"/>
        <item x="192"/>
        <item x="50"/>
        <item x="270"/>
        <item x="121"/>
        <item x="124"/>
        <item x="213"/>
        <item x="33"/>
        <item x="293"/>
        <item x="79"/>
        <item x="18"/>
        <item x="80"/>
        <item x="225"/>
        <item x="98"/>
        <item x="63"/>
        <item x="215"/>
        <item x="44"/>
        <item x="275"/>
        <item x="235"/>
        <item x="30"/>
        <item x="177"/>
        <item x="142"/>
        <item x="190"/>
        <item x="247"/>
        <item x="199"/>
        <item x="105"/>
        <item x="67"/>
        <item x="197"/>
        <item x="282"/>
        <item x="265"/>
        <item x="25"/>
        <item x="305"/>
        <item x="206"/>
        <item x="244"/>
        <item x="194"/>
        <item x="71"/>
        <item x="51"/>
        <item x="262"/>
        <item x="70"/>
        <item x="168"/>
        <item x="23"/>
        <item x="147"/>
        <item x="88"/>
        <item x="209"/>
        <item x="37"/>
        <item x="56"/>
        <item x="272"/>
        <item x="173"/>
        <item x="297"/>
        <item x="43"/>
        <item x="248"/>
        <item x="158"/>
        <item x="101"/>
        <item x="186"/>
        <item x="281"/>
        <item x="295"/>
        <item x="207"/>
        <item x="46"/>
        <item x="83"/>
        <item x="140"/>
        <item x="159"/>
        <item x="299"/>
        <item x="191"/>
        <item x="108"/>
        <item x="179"/>
        <item x="203"/>
        <item x="202"/>
        <item x="266"/>
        <item x="254"/>
        <item x="119"/>
        <item x="66"/>
        <item x="253"/>
        <item x="230"/>
        <item x="15"/>
        <item x="114"/>
        <item x="221"/>
        <item x="220"/>
        <item x="40"/>
        <item x="19"/>
        <item x="164"/>
        <item x="153"/>
        <item x="224"/>
        <item x="31"/>
        <item x="303"/>
        <item x="47"/>
        <item x="68"/>
        <item x="53"/>
        <item x="127"/>
        <item x="85"/>
        <item x="234"/>
        <item x="198"/>
        <item x="157"/>
        <item x="78"/>
        <item x="8"/>
        <item x="306"/>
        <item x="103"/>
        <item x="183"/>
        <item x="287"/>
        <item x="69"/>
        <item x="26"/>
        <item x="95"/>
        <item x="304"/>
        <item x="135"/>
        <item x="155"/>
        <item x="4"/>
        <item x="278"/>
        <item x="13"/>
        <item x="161"/>
        <item x="160"/>
        <item x="132"/>
        <item x="117"/>
        <item x="249"/>
        <item x="58"/>
        <item x="180"/>
        <item x="72"/>
        <item x="123"/>
        <item x="62"/>
        <item x="34"/>
        <item x="29"/>
        <item x="112"/>
        <item x="141"/>
        <item x="288"/>
        <item x="273"/>
        <item x="113"/>
        <item x="126"/>
        <item x="219"/>
        <item x="210"/>
        <item x="251"/>
        <item x="74"/>
        <item x="75"/>
        <item x="241"/>
        <item x="250"/>
        <item x="223"/>
        <item x="285"/>
        <item x="17"/>
        <item x="35"/>
        <item x="178"/>
        <item x="243"/>
        <item x="48"/>
        <item x="111"/>
        <item x="2"/>
        <item x="146"/>
        <item x="118"/>
        <item x="11"/>
        <item x="296"/>
        <item x="276"/>
        <item x="170"/>
        <item x="28"/>
        <item x="242"/>
        <item x="232"/>
        <item x="20"/>
        <item x="77"/>
        <item x="279"/>
        <item x="99"/>
        <item x="184"/>
        <item x="5"/>
        <item x="267"/>
        <item x="294"/>
        <item x="212"/>
        <item x="290"/>
        <item x="181"/>
        <item x="269"/>
        <item x="138"/>
        <item x="0"/>
        <item x="27"/>
        <item x="200"/>
        <item x="201"/>
        <item x="196"/>
        <item x="54"/>
        <item x="52"/>
        <item x="7"/>
        <item x="195"/>
        <item x="226"/>
        <item x="286"/>
        <item x="233"/>
        <item x="129"/>
        <item x="131"/>
        <item x="89"/>
        <item x="182"/>
        <item x="185"/>
        <item x="93"/>
        <item x="76"/>
        <item x="32"/>
        <item x="109"/>
        <item x="3"/>
        <item x="193"/>
        <item x="152"/>
        <item x="148"/>
        <item x="188"/>
        <item x="289"/>
        <item x="22"/>
        <item x="82"/>
        <item x="255"/>
        <item x="301"/>
        <item x="97"/>
        <item x="94"/>
        <item x="144"/>
        <item x="92"/>
        <item x="134"/>
        <item x="73"/>
        <item x="222"/>
        <item x="238"/>
        <item x="139"/>
        <item x="298"/>
        <item x="41"/>
        <item x="166"/>
        <item x="136"/>
        <item x="236"/>
        <item x="174"/>
        <item x="239"/>
        <item x="154"/>
        <item x="245"/>
        <item x="302"/>
        <item x="130"/>
        <item x="84"/>
        <item x="176"/>
        <item x="96"/>
        <item x="128"/>
        <item x="231"/>
        <item x="218"/>
        <item x="12"/>
        <item x="292"/>
        <item x="137"/>
        <item x="60"/>
        <item x="156"/>
        <item x="90"/>
        <item x="150"/>
        <item x="165"/>
        <item x="216"/>
        <item x="284"/>
        <item x="55"/>
        <item x="64"/>
        <item x="36"/>
        <item x="211"/>
        <item x="283"/>
        <item x="120"/>
        <item x="259"/>
        <item x="240"/>
        <item x="1"/>
        <item x="205"/>
        <item x="261"/>
        <item x="246"/>
        <item x="42"/>
        <item x="163"/>
        <item x="14"/>
        <item x="263"/>
        <item x="257"/>
        <item x="149"/>
        <item x="260"/>
        <item x="38"/>
        <item x="252"/>
        <item x="91"/>
        <item x="100"/>
        <item x="49"/>
        <item x="86"/>
        <item x="81"/>
        <item x="87"/>
        <item x="9"/>
        <item x="61"/>
        <item x="208"/>
        <item x="189"/>
        <item x="187"/>
        <item x="214"/>
        <item x="106"/>
        <item x="21"/>
        <item x="167"/>
        <item x="107"/>
        <item x="65"/>
        <item x="115"/>
        <item x="116"/>
        <item x="6"/>
        <item x="175"/>
        <item x="271"/>
        <item x="59"/>
        <item x="102"/>
        <item x="256"/>
        <item x="291"/>
        <item x="171"/>
        <item x="16"/>
        <item x="104"/>
        <item x="280"/>
        <item x="10"/>
        <item t="default"/>
      </items>
    </pivotField>
    <pivotField showAll="0">
      <items count="5">
        <item x="0"/>
        <item x="1"/>
        <item x="2"/>
        <item x="3"/>
        <item t="default"/>
      </items>
    </pivotField>
    <pivotField showAll="0"/>
  </pivotFields>
  <rowFields count="1">
    <field x="14"/>
  </rowFields>
  <rowItems count="6">
    <i>
      <x/>
    </i>
    <i>
      <x v="1"/>
    </i>
    <i>
      <x v="2"/>
    </i>
    <i>
      <x v="3"/>
    </i>
    <i>
      <x v="4"/>
    </i>
    <i t="grand">
      <x/>
    </i>
  </rowItems>
  <colItems count="1">
    <i/>
  </colItems>
  <dataFields count="1">
    <dataField name="Sum of Loan Amount" fld="9" baseField="0" baseItem="0"/>
  </dataFields>
  <chartFormats count="1">
    <chartFormat chart="4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C09F9F-377C-41BE-B0CD-8A47A6437A4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B11" firstHeaderRow="1" firstDataRow="1" firstDataCol="1"/>
  <pivotFields count="19">
    <pivotField dataField="1" showAll="0"/>
    <pivotField showAll="0"/>
    <pivotField showAll="0"/>
    <pivotField showAll="0"/>
    <pivotField axis="axisRow" showAll="0">
      <items count="4">
        <item x="1"/>
        <item x="0"/>
        <item x="2"/>
        <item t="default"/>
      </items>
    </pivotField>
    <pivotField showAll="0"/>
    <pivotField showAll="0">
      <items count="5">
        <item x="0"/>
        <item x="2"/>
        <item x="1"/>
        <item x="3"/>
        <item t="default"/>
      </items>
    </pivotField>
    <pivotField showAll="0"/>
    <pivotField showAll="0">
      <items count="5">
        <item x="1"/>
        <item x="2"/>
        <item x="0"/>
        <item x="3"/>
        <item t="default"/>
      </items>
    </pivotField>
    <pivotField showAll="0"/>
    <pivotField showAll="0"/>
    <pivotField showAll="0"/>
    <pivotField showAll="0"/>
    <pivotField showAll="0">
      <items count="7">
        <item x="4"/>
        <item x="1"/>
        <item x="0"/>
        <item x="3"/>
        <item x="2"/>
        <item x="5"/>
        <item t="default"/>
      </items>
    </pivotField>
    <pivotField showAll="0">
      <items count="6">
        <item x="2"/>
        <item x="0"/>
        <item x="1"/>
        <item x="3"/>
        <item x="4"/>
        <item t="default"/>
      </items>
    </pivotField>
    <pivotField showAll="0"/>
    <pivotField showAll="0">
      <items count="308">
        <item x="227"/>
        <item x="274"/>
        <item x="277"/>
        <item x="143"/>
        <item x="145"/>
        <item x="110"/>
        <item x="122"/>
        <item x="151"/>
        <item x="162"/>
        <item x="268"/>
        <item x="39"/>
        <item x="229"/>
        <item x="264"/>
        <item x="172"/>
        <item x="217"/>
        <item x="125"/>
        <item x="45"/>
        <item x="24"/>
        <item x="300"/>
        <item x="169"/>
        <item x="57"/>
        <item x="228"/>
        <item x="237"/>
        <item x="133"/>
        <item x="204"/>
        <item x="258"/>
        <item x="192"/>
        <item x="50"/>
        <item x="270"/>
        <item x="121"/>
        <item x="124"/>
        <item x="213"/>
        <item x="33"/>
        <item x="293"/>
        <item x="79"/>
        <item x="18"/>
        <item x="80"/>
        <item x="225"/>
        <item x="98"/>
        <item x="63"/>
        <item x="215"/>
        <item x="44"/>
        <item x="275"/>
        <item x="235"/>
        <item x="30"/>
        <item x="177"/>
        <item x="142"/>
        <item x="190"/>
        <item x="247"/>
        <item x="199"/>
        <item x="105"/>
        <item x="67"/>
        <item x="197"/>
        <item x="282"/>
        <item x="265"/>
        <item x="25"/>
        <item x="305"/>
        <item x="206"/>
        <item x="244"/>
        <item x="194"/>
        <item x="71"/>
        <item x="51"/>
        <item x="262"/>
        <item x="70"/>
        <item x="168"/>
        <item x="23"/>
        <item x="147"/>
        <item x="88"/>
        <item x="209"/>
        <item x="37"/>
        <item x="56"/>
        <item x="272"/>
        <item x="173"/>
        <item x="297"/>
        <item x="43"/>
        <item x="248"/>
        <item x="158"/>
        <item x="101"/>
        <item x="186"/>
        <item x="281"/>
        <item x="295"/>
        <item x="207"/>
        <item x="46"/>
        <item x="83"/>
        <item x="140"/>
        <item x="159"/>
        <item x="299"/>
        <item x="191"/>
        <item x="108"/>
        <item x="179"/>
        <item x="203"/>
        <item x="202"/>
        <item x="266"/>
        <item x="254"/>
        <item x="119"/>
        <item x="66"/>
        <item x="253"/>
        <item x="230"/>
        <item x="15"/>
        <item x="114"/>
        <item x="221"/>
        <item x="220"/>
        <item x="40"/>
        <item x="19"/>
        <item x="164"/>
        <item x="153"/>
        <item x="224"/>
        <item x="31"/>
        <item x="303"/>
        <item x="47"/>
        <item x="68"/>
        <item x="53"/>
        <item x="127"/>
        <item x="85"/>
        <item x="234"/>
        <item x="198"/>
        <item x="157"/>
        <item x="78"/>
        <item x="8"/>
        <item x="306"/>
        <item x="103"/>
        <item x="183"/>
        <item x="287"/>
        <item x="69"/>
        <item x="26"/>
        <item x="95"/>
        <item x="304"/>
        <item x="135"/>
        <item x="155"/>
        <item x="4"/>
        <item x="278"/>
        <item x="13"/>
        <item x="161"/>
        <item x="160"/>
        <item x="132"/>
        <item x="117"/>
        <item x="249"/>
        <item x="58"/>
        <item x="180"/>
        <item x="72"/>
        <item x="123"/>
        <item x="62"/>
        <item x="34"/>
        <item x="29"/>
        <item x="112"/>
        <item x="141"/>
        <item x="288"/>
        <item x="273"/>
        <item x="113"/>
        <item x="126"/>
        <item x="219"/>
        <item x="210"/>
        <item x="251"/>
        <item x="74"/>
        <item x="75"/>
        <item x="241"/>
        <item x="250"/>
        <item x="223"/>
        <item x="285"/>
        <item x="17"/>
        <item x="35"/>
        <item x="178"/>
        <item x="243"/>
        <item x="48"/>
        <item x="111"/>
        <item x="2"/>
        <item x="146"/>
        <item x="118"/>
        <item x="11"/>
        <item x="296"/>
        <item x="276"/>
        <item x="170"/>
        <item x="28"/>
        <item x="242"/>
        <item x="232"/>
        <item x="20"/>
        <item x="77"/>
        <item x="279"/>
        <item x="99"/>
        <item x="184"/>
        <item x="5"/>
        <item x="267"/>
        <item x="294"/>
        <item x="212"/>
        <item x="290"/>
        <item x="181"/>
        <item x="269"/>
        <item x="138"/>
        <item x="0"/>
        <item x="27"/>
        <item x="200"/>
        <item x="201"/>
        <item x="196"/>
        <item x="54"/>
        <item x="52"/>
        <item x="7"/>
        <item x="195"/>
        <item x="226"/>
        <item x="286"/>
        <item x="233"/>
        <item x="129"/>
        <item x="131"/>
        <item x="89"/>
        <item x="182"/>
        <item x="185"/>
        <item x="93"/>
        <item x="76"/>
        <item x="32"/>
        <item x="109"/>
        <item x="3"/>
        <item x="193"/>
        <item x="152"/>
        <item x="148"/>
        <item x="188"/>
        <item x="289"/>
        <item x="22"/>
        <item x="82"/>
        <item x="255"/>
        <item x="301"/>
        <item x="97"/>
        <item x="94"/>
        <item x="144"/>
        <item x="92"/>
        <item x="134"/>
        <item x="73"/>
        <item x="222"/>
        <item x="238"/>
        <item x="139"/>
        <item x="298"/>
        <item x="41"/>
        <item x="166"/>
        <item x="136"/>
        <item x="236"/>
        <item x="174"/>
        <item x="239"/>
        <item x="154"/>
        <item x="245"/>
        <item x="302"/>
        <item x="130"/>
        <item x="84"/>
        <item x="176"/>
        <item x="96"/>
        <item x="128"/>
        <item x="231"/>
        <item x="218"/>
        <item x="12"/>
        <item x="292"/>
        <item x="137"/>
        <item x="60"/>
        <item x="156"/>
        <item x="90"/>
        <item x="150"/>
        <item x="165"/>
        <item x="216"/>
        <item x="284"/>
        <item x="55"/>
        <item x="64"/>
        <item x="36"/>
        <item x="211"/>
        <item x="283"/>
        <item x="120"/>
        <item x="259"/>
        <item x="240"/>
        <item x="1"/>
        <item x="205"/>
        <item x="261"/>
        <item x="246"/>
        <item x="42"/>
        <item x="163"/>
        <item x="14"/>
        <item x="263"/>
        <item x="257"/>
        <item x="149"/>
        <item x="260"/>
        <item x="38"/>
        <item x="252"/>
        <item x="91"/>
        <item x="100"/>
        <item x="49"/>
        <item x="86"/>
        <item x="81"/>
        <item x="87"/>
        <item x="9"/>
        <item x="61"/>
        <item x="208"/>
        <item x="189"/>
        <item x="187"/>
        <item x="214"/>
        <item x="106"/>
        <item x="21"/>
        <item x="167"/>
        <item x="107"/>
        <item x="65"/>
        <item x="115"/>
        <item x="116"/>
        <item x="6"/>
        <item x="175"/>
        <item x="271"/>
        <item x="59"/>
        <item x="102"/>
        <item x="256"/>
        <item x="291"/>
        <item x="171"/>
        <item x="16"/>
        <item x="104"/>
        <item x="280"/>
        <item x="10"/>
        <item t="default"/>
      </items>
    </pivotField>
    <pivotField showAll="0">
      <items count="5">
        <item x="0"/>
        <item x="1"/>
        <item x="2"/>
        <item x="3"/>
        <item t="default"/>
      </items>
    </pivotField>
    <pivotField showAll="0"/>
  </pivotFields>
  <rowFields count="1">
    <field x="4"/>
  </rowFields>
  <rowItems count="4">
    <i>
      <x/>
    </i>
    <i>
      <x v="1"/>
    </i>
    <i>
      <x v="2"/>
    </i>
    <i t="grand">
      <x/>
    </i>
  </rowItems>
  <colItems count="1">
    <i/>
  </colItems>
  <dataFields count="1">
    <dataField name="Count of Loan ID" fld="0" subtotal="count" baseField="0" baseItem="0"/>
  </dataFields>
  <chartFormats count="4">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4" count="1" selected="0">
            <x v="0"/>
          </reference>
        </references>
      </pivotArea>
    </chartFormat>
    <chartFormat chart="19" format="7">
      <pivotArea type="data" outline="0" fieldPosition="0">
        <references count="2">
          <reference field="4294967294" count="1" selected="0">
            <x v="0"/>
          </reference>
          <reference field="4" count="1" selected="0">
            <x v="1"/>
          </reference>
        </references>
      </pivotArea>
    </chartFormat>
    <chartFormat chart="19"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C56BA6-9CC0-4B47-AAED-BCA70E9278C1}"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19" firstHeaderRow="1" firstDataRow="1" firstDataCol="1"/>
  <pivotFields count="19">
    <pivotField dataField="1"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items count="7">
        <item x="4"/>
        <item x="1"/>
        <item x="0"/>
        <item x="3"/>
        <item x="2"/>
        <item x="5"/>
        <item t="default"/>
      </items>
    </pivotField>
    <pivotField showAll="0">
      <items count="6">
        <item x="2"/>
        <item x="0"/>
        <item x="1"/>
        <item x="3"/>
        <item x="4"/>
        <item t="default"/>
      </items>
    </pivotField>
    <pivotField showAll="0"/>
    <pivotField showAll="0">
      <items count="308">
        <item x="227"/>
        <item x="274"/>
        <item x="277"/>
        <item x="143"/>
        <item x="145"/>
        <item x="110"/>
        <item x="122"/>
        <item x="151"/>
        <item x="162"/>
        <item x="268"/>
        <item x="39"/>
        <item x="229"/>
        <item x="264"/>
        <item x="172"/>
        <item x="217"/>
        <item x="125"/>
        <item x="45"/>
        <item x="24"/>
        <item x="300"/>
        <item x="169"/>
        <item x="57"/>
        <item x="228"/>
        <item x="237"/>
        <item x="133"/>
        <item x="204"/>
        <item x="258"/>
        <item x="192"/>
        <item x="50"/>
        <item x="270"/>
        <item x="121"/>
        <item x="124"/>
        <item x="213"/>
        <item x="33"/>
        <item x="293"/>
        <item x="79"/>
        <item x="18"/>
        <item x="80"/>
        <item x="225"/>
        <item x="98"/>
        <item x="63"/>
        <item x="215"/>
        <item x="44"/>
        <item x="275"/>
        <item x="235"/>
        <item x="30"/>
        <item x="177"/>
        <item x="142"/>
        <item x="190"/>
        <item x="247"/>
        <item x="199"/>
        <item x="105"/>
        <item x="67"/>
        <item x="197"/>
        <item x="282"/>
        <item x="265"/>
        <item x="25"/>
        <item x="305"/>
        <item x="206"/>
        <item x="244"/>
        <item x="194"/>
        <item x="71"/>
        <item x="51"/>
        <item x="262"/>
        <item x="70"/>
        <item x="168"/>
        <item x="23"/>
        <item x="147"/>
        <item x="88"/>
        <item x="209"/>
        <item x="37"/>
        <item x="56"/>
        <item x="272"/>
        <item x="173"/>
        <item x="297"/>
        <item x="43"/>
        <item x="248"/>
        <item x="158"/>
        <item x="101"/>
        <item x="186"/>
        <item x="281"/>
        <item x="295"/>
        <item x="207"/>
        <item x="46"/>
        <item x="83"/>
        <item x="140"/>
        <item x="159"/>
        <item x="299"/>
        <item x="191"/>
        <item x="108"/>
        <item x="179"/>
        <item x="203"/>
        <item x="202"/>
        <item x="266"/>
        <item x="254"/>
        <item x="119"/>
        <item x="66"/>
        <item x="253"/>
        <item x="230"/>
        <item x="15"/>
        <item x="114"/>
        <item x="221"/>
        <item x="220"/>
        <item x="40"/>
        <item x="19"/>
        <item x="164"/>
        <item x="153"/>
        <item x="224"/>
        <item x="31"/>
        <item x="303"/>
        <item x="47"/>
        <item x="68"/>
        <item x="53"/>
        <item x="127"/>
        <item x="85"/>
        <item x="234"/>
        <item x="198"/>
        <item x="157"/>
        <item x="78"/>
        <item x="8"/>
        <item x="306"/>
        <item x="103"/>
        <item x="183"/>
        <item x="287"/>
        <item x="69"/>
        <item x="26"/>
        <item x="95"/>
        <item x="304"/>
        <item x="135"/>
        <item x="155"/>
        <item x="4"/>
        <item x="278"/>
        <item x="13"/>
        <item x="161"/>
        <item x="160"/>
        <item x="132"/>
        <item x="117"/>
        <item x="249"/>
        <item x="58"/>
        <item x="180"/>
        <item x="72"/>
        <item x="123"/>
        <item x="62"/>
        <item x="34"/>
        <item x="29"/>
        <item x="112"/>
        <item x="141"/>
        <item x="288"/>
        <item x="273"/>
        <item x="113"/>
        <item x="126"/>
        <item x="219"/>
        <item x="210"/>
        <item x="251"/>
        <item x="74"/>
        <item x="75"/>
        <item x="241"/>
        <item x="250"/>
        <item x="223"/>
        <item x="285"/>
        <item x="17"/>
        <item x="35"/>
        <item x="178"/>
        <item x="243"/>
        <item x="48"/>
        <item x="111"/>
        <item x="2"/>
        <item x="146"/>
        <item x="118"/>
        <item x="11"/>
        <item x="296"/>
        <item x="276"/>
        <item x="170"/>
        <item x="28"/>
        <item x="242"/>
        <item x="232"/>
        <item x="20"/>
        <item x="77"/>
        <item x="279"/>
        <item x="99"/>
        <item x="184"/>
        <item x="5"/>
        <item x="267"/>
        <item x="294"/>
        <item x="212"/>
        <item x="290"/>
        <item x="181"/>
        <item x="269"/>
        <item x="138"/>
        <item x="0"/>
        <item x="27"/>
        <item x="200"/>
        <item x="201"/>
        <item x="196"/>
        <item x="54"/>
        <item x="52"/>
        <item x="7"/>
        <item x="195"/>
        <item x="226"/>
        <item x="286"/>
        <item x="233"/>
        <item x="129"/>
        <item x="131"/>
        <item x="89"/>
        <item x="182"/>
        <item x="185"/>
        <item x="93"/>
        <item x="76"/>
        <item x="32"/>
        <item x="109"/>
        <item x="3"/>
        <item x="193"/>
        <item x="152"/>
        <item x="148"/>
        <item x="188"/>
        <item x="289"/>
        <item x="22"/>
        <item x="82"/>
        <item x="255"/>
        <item x="301"/>
        <item x="97"/>
        <item x="94"/>
        <item x="144"/>
        <item x="92"/>
        <item x="134"/>
        <item x="73"/>
        <item x="222"/>
        <item x="238"/>
        <item x="139"/>
        <item x="298"/>
        <item x="41"/>
        <item x="166"/>
        <item x="136"/>
        <item x="236"/>
        <item x="174"/>
        <item x="239"/>
        <item x="154"/>
        <item x="245"/>
        <item x="302"/>
        <item x="130"/>
        <item x="84"/>
        <item x="176"/>
        <item x="96"/>
        <item x="128"/>
        <item x="231"/>
        <item x="218"/>
        <item x="12"/>
        <item x="292"/>
        <item x="137"/>
        <item x="60"/>
        <item x="156"/>
        <item x="90"/>
        <item x="150"/>
        <item x="165"/>
        <item x="216"/>
        <item x="284"/>
        <item x="55"/>
        <item x="64"/>
        <item x="36"/>
        <item x="211"/>
        <item x="283"/>
        <item x="120"/>
        <item x="259"/>
        <item x="240"/>
        <item x="1"/>
        <item x="205"/>
        <item x="261"/>
        <item x="246"/>
        <item x="42"/>
        <item x="163"/>
        <item x="14"/>
        <item x="263"/>
        <item x="257"/>
        <item x="149"/>
        <item x="260"/>
        <item x="38"/>
        <item x="252"/>
        <item x="91"/>
        <item x="100"/>
        <item x="49"/>
        <item x="86"/>
        <item x="81"/>
        <item x="87"/>
        <item x="9"/>
        <item x="61"/>
        <item x="208"/>
        <item x="189"/>
        <item x="187"/>
        <item x="214"/>
        <item x="106"/>
        <item x="21"/>
        <item x="167"/>
        <item x="107"/>
        <item x="65"/>
        <item x="115"/>
        <item x="116"/>
        <item x="6"/>
        <item x="175"/>
        <item x="271"/>
        <item x="59"/>
        <item x="102"/>
        <item x="256"/>
        <item x="291"/>
        <item x="171"/>
        <item x="16"/>
        <item x="104"/>
        <item x="280"/>
        <item x="10"/>
        <item t="default"/>
      </items>
    </pivotField>
    <pivotField axis="axisRow" showAll="0">
      <items count="5">
        <item x="0"/>
        <item x="1"/>
        <item x="2"/>
        <item x="3"/>
        <item t="default"/>
      </items>
    </pivotField>
    <pivotField showAll="0"/>
  </pivotFields>
  <rowFields count="1">
    <field x="17"/>
  </rowFields>
  <rowItems count="5">
    <i>
      <x/>
    </i>
    <i>
      <x v="1"/>
    </i>
    <i>
      <x v="2"/>
    </i>
    <i>
      <x v="3"/>
    </i>
    <i t="grand">
      <x/>
    </i>
  </rowItems>
  <colItems count="1">
    <i/>
  </colItems>
  <dataFields count="1">
    <dataField name="Count of Loan ID" fld="0" subtotal="count" baseField="0" baseItem="0"/>
  </dataFields>
  <chartFormats count="5">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7" count="1" selected="0">
            <x v="0"/>
          </reference>
        </references>
      </pivotArea>
    </chartFormat>
    <chartFormat chart="9" format="7">
      <pivotArea type="data" outline="0" fieldPosition="0">
        <references count="2">
          <reference field="4294967294" count="1" selected="0">
            <x v="0"/>
          </reference>
          <reference field="17" count="1" selected="0">
            <x v="1"/>
          </reference>
        </references>
      </pivotArea>
    </chartFormat>
    <chartFormat chart="9" format="8">
      <pivotArea type="data" outline="0" fieldPosition="0">
        <references count="2">
          <reference field="4294967294" count="1" selected="0">
            <x v="0"/>
          </reference>
          <reference field="17" count="1" selected="0">
            <x v="2"/>
          </reference>
        </references>
      </pivotArea>
    </chartFormat>
    <chartFormat chart="9" format="9">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1DD9CB-0CC1-4FDA-9E61-8C90ED130805}"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8:B32" firstHeaderRow="1" firstDataRow="1" firstDataCol="1"/>
  <pivotFields count="19">
    <pivotField showAll="0"/>
    <pivotField showAll="0"/>
    <pivotField showAll="0"/>
    <pivotField showAll="0"/>
    <pivotField showAll="0"/>
    <pivotField showAll="0"/>
    <pivotField showAll="0">
      <items count="5">
        <item x="0"/>
        <item x="2"/>
        <item x="1"/>
        <item x="3"/>
        <item t="default"/>
      </items>
    </pivotField>
    <pivotField showAll="0">
      <items count="339">
        <item x="334"/>
        <item x="217"/>
        <item x="185"/>
        <item x="67"/>
        <item x="265"/>
        <item x="61"/>
        <item x="233"/>
        <item x="261"/>
        <item x="209"/>
        <item x="282"/>
        <item x="278"/>
        <item x="3"/>
        <item x="223"/>
        <item x="260"/>
        <item x="216"/>
        <item x="259"/>
        <item x="207"/>
        <item x="140"/>
        <item x="43"/>
        <item x="121"/>
        <item x="336"/>
        <item x="197"/>
        <item x="219"/>
        <item x="267"/>
        <item x="183"/>
        <item x="62"/>
        <item x="127"/>
        <item x="107"/>
        <item x="101"/>
        <item x="10"/>
        <item x="86"/>
        <item x="172"/>
        <item x="333"/>
        <item x="206"/>
        <item x="109"/>
        <item x="11"/>
        <item x="307"/>
        <item x="65"/>
        <item x="240"/>
        <item x="53"/>
        <item x="46"/>
        <item x="256"/>
        <item x="218"/>
        <item x="59"/>
        <item x="232"/>
        <item x="224"/>
        <item x="55"/>
        <item x="155"/>
        <item x="114"/>
        <item x="77"/>
        <item x="95"/>
        <item x="313"/>
        <item x="139"/>
        <item x="255"/>
        <item x="82"/>
        <item x="284"/>
        <item x="25"/>
        <item x="98"/>
        <item x="134"/>
        <item x="20"/>
        <item x="319"/>
        <item x="230"/>
        <item x="231"/>
        <item x="163"/>
        <item x="73"/>
        <item x="315"/>
        <item x="115"/>
        <item x="41"/>
        <item x="153"/>
        <item x="12"/>
        <item x="295"/>
        <item x="33"/>
        <item x="191"/>
        <item x="168"/>
        <item x="50"/>
        <item x="87"/>
        <item x="262"/>
        <item x="187"/>
        <item x="49"/>
        <item x="99"/>
        <item x="289"/>
        <item x="110"/>
        <item x="323"/>
        <item x="220"/>
        <item x="200"/>
        <item x="72"/>
        <item x="130"/>
        <item x="234"/>
        <item x="45"/>
        <item x="252"/>
        <item x="0"/>
        <item x="167"/>
        <item x="325"/>
        <item x="221"/>
        <item x="39"/>
        <item x="285"/>
        <item x="17"/>
        <item x="288"/>
        <item x="320"/>
        <item x="76"/>
        <item x="268"/>
        <item x="205"/>
        <item x="64"/>
        <item x="241"/>
        <item x="32"/>
        <item x="298"/>
        <item x="84"/>
        <item x="227"/>
        <item x="147"/>
        <item x="31"/>
        <item x="68"/>
        <item x="287"/>
        <item x="173"/>
        <item x="104"/>
        <item x="317"/>
        <item x="192"/>
        <item x="69"/>
        <item x="126"/>
        <item x="30"/>
        <item x="328"/>
        <item x="332"/>
        <item x="273"/>
        <item x="326"/>
        <item x="280"/>
        <item x="88"/>
        <item x="210"/>
        <item x="42"/>
        <item x="133"/>
        <item x="292"/>
        <item x="57"/>
        <item x="83"/>
        <item x="248"/>
        <item x="97"/>
        <item x="335"/>
        <item x="213"/>
        <item x="247"/>
        <item x="131"/>
        <item x="38"/>
        <item x="128"/>
        <item x="275"/>
        <item x="113"/>
        <item x="283"/>
        <item x="258"/>
        <item x="175"/>
        <item x="159"/>
        <item x="270"/>
        <item x="60"/>
        <item x="54"/>
        <item x="253"/>
        <item x="6"/>
        <item x="40"/>
        <item x="297"/>
        <item x="102"/>
        <item x="8"/>
        <item x="294"/>
        <item x="290"/>
        <item x="212"/>
        <item x="271"/>
        <item x="176"/>
        <item x="66"/>
        <item x="123"/>
        <item x="90"/>
        <item x="89"/>
        <item x="229"/>
        <item x="92"/>
        <item x="81"/>
        <item x="124"/>
        <item x="263"/>
        <item x="245"/>
        <item x="48"/>
        <item x="318"/>
        <item x="79"/>
        <item x="324"/>
        <item x="166"/>
        <item x="150"/>
        <item x="136"/>
        <item x="122"/>
        <item x="143"/>
        <item x="279"/>
        <item x="264"/>
        <item x="269"/>
        <item x="105"/>
        <item x="47"/>
        <item x="117"/>
        <item x="144"/>
        <item x="125"/>
        <item x="161"/>
        <item x="208"/>
        <item x="21"/>
        <item x="244"/>
        <item x="274"/>
        <item x="94"/>
        <item x="85"/>
        <item x="157"/>
        <item x="306"/>
        <item x="174"/>
        <item x="296"/>
        <item x="195"/>
        <item x="148"/>
        <item x="120"/>
        <item x="179"/>
        <item x="111"/>
        <item x="145"/>
        <item x="186"/>
        <item x="137"/>
        <item x="44"/>
        <item x="327"/>
        <item x="281"/>
        <item x="19"/>
        <item x="188"/>
        <item x="194"/>
        <item x="118"/>
        <item x="165"/>
        <item x="52"/>
        <item x="129"/>
        <item x="322"/>
        <item x="204"/>
        <item x="14"/>
        <item x="236"/>
        <item x="70"/>
        <item x="254"/>
        <item x="5"/>
        <item x="132"/>
        <item x="321"/>
        <item x="272"/>
        <item x="304"/>
        <item x="222"/>
        <item x="316"/>
        <item x="160"/>
        <item x="18"/>
        <item x="158"/>
        <item x="300"/>
        <item x="203"/>
        <item x="171"/>
        <item x="1"/>
        <item x="138"/>
        <item x="4"/>
        <item x="246"/>
        <item x="7"/>
        <item x="51"/>
        <item x="80"/>
        <item x="154"/>
        <item x="34"/>
        <item x="235"/>
        <item x="142"/>
        <item x="301"/>
        <item x="169"/>
        <item x="24"/>
        <item x="249"/>
        <item x="178"/>
        <item x="2"/>
        <item x="26"/>
        <item x="196"/>
        <item x="37"/>
        <item x="15"/>
        <item x="286"/>
        <item x="164"/>
        <item x="63"/>
        <item x="303"/>
        <item x="331"/>
        <item x="305"/>
        <item x="228"/>
        <item x="329"/>
        <item x="330"/>
        <item x="193"/>
        <item x="75"/>
        <item x="170"/>
        <item x="239"/>
        <item x="277"/>
        <item x="311"/>
        <item x="243"/>
        <item x="184"/>
        <item x="312"/>
        <item x="293"/>
        <item x="308"/>
        <item x="214"/>
        <item x="71"/>
        <item x="16"/>
        <item x="226"/>
        <item x="156"/>
        <item x="215"/>
        <item x="112"/>
        <item x="302"/>
        <item x="119"/>
        <item x="108"/>
        <item x="309"/>
        <item x="251"/>
        <item x="242"/>
        <item x="96"/>
        <item x="182"/>
        <item x="310"/>
        <item x="189"/>
        <item x="116"/>
        <item x="23"/>
        <item x="93"/>
        <item x="291"/>
        <item x="257"/>
        <item x="100"/>
        <item x="190"/>
        <item x="27"/>
        <item x="198"/>
        <item x="276"/>
        <item x="225"/>
        <item x="180"/>
        <item x="146"/>
        <item x="135"/>
        <item x="211"/>
        <item x="56"/>
        <item x="35"/>
        <item x="22"/>
        <item x="106"/>
        <item x="202"/>
        <item x="141"/>
        <item x="29"/>
        <item x="151"/>
        <item x="299"/>
        <item x="13"/>
        <item x="162"/>
        <item x="201"/>
        <item x="78"/>
        <item x="199"/>
        <item x="149"/>
        <item x="181"/>
        <item x="74"/>
        <item x="9"/>
        <item x="91"/>
        <item x="28"/>
        <item x="58"/>
        <item x="266"/>
        <item x="314"/>
        <item x="152"/>
        <item x="250"/>
        <item x="238"/>
        <item x="36"/>
        <item x="103"/>
        <item x="177"/>
        <item x="237"/>
        <item x="337"/>
        <item t="default"/>
      </items>
    </pivotField>
    <pivotField axis="axisRow" showAll="0">
      <items count="5">
        <item x="1"/>
        <item x="2"/>
        <item x="0"/>
        <item h="1" x="3"/>
        <item t="default"/>
      </items>
    </pivotField>
    <pivotField showAll="0"/>
    <pivotField showAll="0"/>
    <pivotField showAll="0"/>
    <pivotField showAll="0"/>
    <pivotField showAll="0">
      <items count="7">
        <item x="4"/>
        <item x="1"/>
        <item x="0"/>
        <item x="3"/>
        <item x="2"/>
        <item x="5"/>
        <item t="default"/>
      </items>
    </pivotField>
    <pivotField showAll="0">
      <items count="6">
        <item x="2"/>
        <item x="0"/>
        <item x="1"/>
        <item x="3"/>
        <item x="4"/>
        <item t="default"/>
      </items>
    </pivotField>
    <pivotField showAll="0"/>
    <pivotField showAll="0">
      <items count="308">
        <item x="227"/>
        <item x="274"/>
        <item x="277"/>
        <item x="143"/>
        <item x="145"/>
        <item x="110"/>
        <item x="122"/>
        <item x="151"/>
        <item x="162"/>
        <item x="268"/>
        <item x="39"/>
        <item x="229"/>
        <item x="264"/>
        <item x="172"/>
        <item x="217"/>
        <item x="125"/>
        <item x="45"/>
        <item x="24"/>
        <item x="300"/>
        <item x="169"/>
        <item x="57"/>
        <item x="228"/>
        <item x="237"/>
        <item x="133"/>
        <item x="204"/>
        <item x="258"/>
        <item x="192"/>
        <item x="50"/>
        <item x="270"/>
        <item x="121"/>
        <item x="124"/>
        <item x="213"/>
        <item x="33"/>
        <item x="293"/>
        <item x="79"/>
        <item x="18"/>
        <item x="80"/>
        <item x="225"/>
        <item x="98"/>
        <item x="63"/>
        <item x="215"/>
        <item x="44"/>
        <item x="275"/>
        <item x="235"/>
        <item x="30"/>
        <item x="177"/>
        <item x="142"/>
        <item x="190"/>
        <item x="247"/>
        <item x="199"/>
        <item x="105"/>
        <item x="67"/>
        <item x="197"/>
        <item x="282"/>
        <item x="265"/>
        <item x="25"/>
        <item x="305"/>
        <item x="206"/>
        <item x="244"/>
        <item x="194"/>
        <item x="71"/>
        <item x="51"/>
        <item x="262"/>
        <item x="70"/>
        <item x="168"/>
        <item x="23"/>
        <item x="147"/>
        <item x="88"/>
        <item x="209"/>
        <item x="37"/>
        <item x="56"/>
        <item x="272"/>
        <item x="173"/>
        <item x="297"/>
        <item x="43"/>
        <item x="248"/>
        <item x="158"/>
        <item x="101"/>
        <item x="186"/>
        <item x="281"/>
        <item x="295"/>
        <item x="207"/>
        <item x="46"/>
        <item x="83"/>
        <item x="140"/>
        <item x="159"/>
        <item x="299"/>
        <item x="191"/>
        <item x="108"/>
        <item x="179"/>
        <item x="203"/>
        <item x="202"/>
        <item x="266"/>
        <item x="254"/>
        <item x="119"/>
        <item x="66"/>
        <item x="253"/>
        <item x="230"/>
        <item x="15"/>
        <item x="114"/>
        <item x="221"/>
        <item x="220"/>
        <item x="40"/>
        <item x="19"/>
        <item x="164"/>
        <item x="153"/>
        <item x="224"/>
        <item x="31"/>
        <item x="303"/>
        <item x="47"/>
        <item x="68"/>
        <item x="53"/>
        <item x="127"/>
        <item x="85"/>
        <item x="234"/>
        <item x="198"/>
        <item x="157"/>
        <item x="78"/>
        <item x="8"/>
        <item x="306"/>
        <item x="103"/>
        <item x="183"/>
        <item x="287"/>
        <item x="69"/>
        <item x="26"/>
        <item x="95"/>
        <item x="304"/>
        <item x="135"/>
        <item x="155"/>
        <item x="4"/>
        <item x="278"/>
        <item x="13"/>
        <item x="161"/>
        <item x="160"/>
        <item x="132"/>
        <item x="117"/>
        <item x="249"/>
        <item x="58"/>
        <item x="180"/>
        <item x="72"/>
        <item x="123"/>
        <item x="62"/>
        <item x="34"/>
        <item x="29"/>
        <item x="112"/>
        <item x="141"/>
        <item x="288"/>
        <item x="273"/>
        <item x="113"/>
        <item x="126"/>
        <item x="219"/>
        <item x="210"/>
        <item x="251"/>
        <item x="74"/>
        <item x="75"/>
        <item x="241"/>
        <item x="250"/>
        <item x="223"/>
        <item x="285"/>
        <item x="17"/>
        <item x="35"/>
        <item x="178"/>
        <item x="243"/>
        <item x="48"/>
        <item x="111"/>
        <item x="2"/>
        <item x="146"/>
        <item x="118"/>
        <item x="11"/>
        <item x="296"/>
        <item x="276"/>
        <item x="170"/>
        <item x="28"/>
        <item x="242"/>
        <item x="232"/>
        <item x="20"/>
        <item x="77"/>
        <item x="279"/>
        <item x="99"/>
        <item x="184"/>
        <item x="5"/>
        <item x="267"/>
        <item x="294"/>
        <item x="212"/>
        <item x="290"/>
        <item x="181"/>
        <item x="269"/>
        <item x="138"/>
        <item x="0"/>
        <item x="27"/>
        <item x="200"/>
        <item x="201"/>
        <item x="196"/>
        <item x="54"/>
        <item x="52"/>
        <item x="7"/>
        <item x="195"/>
        <item x="226"/>
        <item x="286"/>
        <item x="233"/>
        <item x="129"/>
        <item x="131"/>
        <item x="89"/>
        <item x="182"/>
        <item x="185"/>
        <item x="93"/>
        <item x="76"/>
        <item x="32"/>
        <item x="109"/>
        <item x="3"/>
        <item x="193"/>
        <item x="152"/>
        <item x="148"/>
        <item x="188"/>
        <item x="289"/>
        <item x="22"/>
        <item x="82"/>
        <item x="255"/>
        <item x="301"/>
        <item x="97"/>
        <item x="94"/>
        <item x="144"/>
        <item x="92"/>
        <item x="134"/>
        <item x="73"/>
        <item x="222"/>
        <item x="238"/>
        <item x="139"/>
        <item x="298"/>
        <item x="41"/>
        <item x="166"/>
        <item x="136"/>
        <item x="236"/>
        <item x="174"/>
        <item x="239"/>
        <item x="154"/>
        <item x="245"/>
        <item x="302"/>
        <item x="130"/>
        <item x="84"/>
        <item x="176"/>
        <item x="96"/>
        <item x="128"/>
        <item x="231"/>
        <item x="218"/>
        <item x="12"/>
        <item x="292"/>
        <item x="137"/>
        <item x="60"/>
        <item x="156"/>
        <item x="90"/>
        <item x="150"/>
        <item x="165"/>
        <item x="216"/>
        <item x="284"/>
        <item x="55"/>
        <item x="64"/>
        <item x="36"/>
        <item x="211"/>
        <item x="283"/>
        <item x="120"/>
        <item x="259"/>
        <item x="240"/>
        <item x="1"/>
        <item x="205"/>
        <item x="261"/>
        <item x="246"/>
        <item x="42"/>
        <item x="163"/>
        <item x="14"/>
        <item x="263"/>
        <item x="257"/>
        <item x="149"/>
        <item x="260"/>
        <item x="38"/>
        <item x="252"/>
        <item x="91"/>
        <item x="100"/>
        <item x="49"/>
        <item x="86"/>
        <item x="81"/>
        <item x="87"/>
        <item x="9"/>
        <item x="61"/>
        <item x="208"/>
        <item x="189"/>
        <item x="187"/>
        <item x="214"/>
        <item x="106"/>
        <item x="21"/>
        <item x="167"/>
        <item x="107"/>
        <item x="65"/>
        <item x="115"/>
        <item x="116"/>
        <item x="6"/>
        <item x="175"/>
        <item x="271"/>
        <item x="59"/>
        <item x="102"/>
        <item x="256"/>
        <item x="291"/>
        <item x="171"/>
        <item x="16"/>
        <item x="104"/>
        <item x="280"/>
        <item x="10"/>
        <item t="default"/>
      </items>
    </pivotField>
    <pivotField showAll="0">
      <items count="5">
        <item x="0"/>
        <item x="1"/>
        <item x="2"/>
        <item x="3"/>
        <item t="default"/>
      </items>
    </pivotField>
    <pivotField dataField="1" showAll="0"/>
  </pivotFields>
  <rowFields count="1">
    <field x="8"/>
  </rowFields>
  <rowItems count="4">
    <i>
      <x/>
    </i>
    <i>
      <x v="1"/>
    </i>
    <i>
      <x v="2"/>
    </i>
    <i t="grand">
      <x/>
    </i>
  </rowItems>
  <colItems count="1">
    <i/>
  </colItems>
  <dataFields count="1">
    <dataField name="Sum of Default Flag" fld="1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A6BACF-4656-43DD-847E-02F8547B7433}"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6:H52" firstHeaderRow="1" firstDataRow="2" firstDataCol="1" rowPageCount="1" colPageCount="1"/>
  <pivotFields count="19">
    <pivotField dataField="1"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items count="502">
        <item x="291"/>
        <item x="120"/>
        <item x="473"/>
        <item x="301"/>
        <item x="457"/>
        <item x="202"/>
        <item x="298"/>
        <item x="411"/>
        <item x="467"/>
        <item x="321"/>
        <item x="323"/>
        <item x="11"/>
        <item x="243"/>
        <item x="253"/>
        <item x="373"/>
        <item x="468"/>
        <item x="77"/>
        <item x="236"/>
        <item x="282"/>
        <item x="147"/>
        <item x="382"/>
        <item x="494"/>
        <item x="442"/>
        <item x="16"/>
        <item x="43"/>
        <item x="428"/>
        <item x="378"/>
        <item x="421"/>
        <item x="197"/>
        <item x="388"/>
        <item x="476"/>
        <item x="23"/>
        <item x="381"/>
        <item x="405"/>
        <item x="350"/>
        <item x="451"/>
        <item x="402"/>
        <item x="470"/>
        <item x="286"/>
        <item x="149"/>
        <item x="17"/>
        <item x="67"/>
        <item x="180"/>
        <item x="63"/>
        <item x="380"/>
        <item x="262"/>
        <item x="222"/>
        <item x="319"/>
        <item x="490"/>
        <item x="218"/>
        <item x="79"/>
        <item x="256"/>
        <item x="85"/>
        <item x="278"/>
        <item x="182"/>
        <item x="196"/>
        <item x="337"/>
        <item x="203"/>
        <item x="153"/>
        <item x="334"/>
        <item x="206"/>
        <item x="25"/>
        <item x="54"/>
        <item x="127"/>
        <item x="14"/>
        <item x="485"/>
        <item x="464"/>
        <item x="425"/>
        <item x="164"/>
        <item x="414"/>
        <item x="237"/>
        <item x="231"/>
        <item x="346"/>
        <item x="358"/>
        <item x="145"/>
        <item x="354"/>
        <item x="251"/>
        <item x="332"/>
        <item x="422"/>
        <item x="430"/>
        <item x="173"/>
        <item x="185"/>
        <item x="265"/>
        <item x="159"/>
        <item x="459"/>
        <item x="479"/>
        <item x="431"/>
        <item x="126"/>
        <item x="216"/>
        <item x="121"/>
        <item x="461"/>
        <item x="205"/>
        <item x="39"/>
        <item x="73"/>
        <item x="338"/>
        <item x="458"/>
        <item x="26"/>
        <item x="212"/>
        <item x="89"/>
        <item x="223"/>
        <item x="284"/>
        <item x="193"/>
        <item x="229"/>
        <item x="412"/>
        <item x="415"/>
        <item x="452"/>
        <item x="194"/>
        <item x="273"/>
        <item x="491"/>
        <item x="313"/>
        <item x="386"/>
        <item x="460"/>
        <item x="214"/>
        <item x="272"/>
        <item x="395"/>
        <item x="449"/>
        <item x="384"/>
        <item x="318"/>
        <item x="257"/>
        <item x="99"/>
        <item x="57"/>
        <item x="303"/>
        <item x="165"/>
        <item x="343"/>
        <item x="111"/>
        <item x="21"/>
        <item x="93"/>
        <item x="183"/>
        <item x="391"/>
        <item x="496"/>
        <item x="228"/>
        <item x="379"/>
        <item x="306"/>
        <item x="142"/>
        <item x="148"/>
        <item x="40"/>
        <item x="374"/>
        <item x="383"/>
        <item x="141"/>
        <item x="404"/>
        <item x="207"/>
        <item x="213"/>
        <item x="300"/>
        <item x="481"/>
        <item x="112"/>
        <item x="330"/>
        <item x="477"/>
        <item x="341"/>
        <item x="198"/>
        <item x="162"/>
        <item x="146"/>
        <item x="140"/>
        <item x="400"/>
        <item x="385"/>
        <item x="327"/>
        <item x="191"/>
        <item x="234"/>
        <item x="80"/>
        <item x="454"/>
        <item x="0"/>
        <item x="377"/>
        <item x="294"/>
        <item x="441"/>
        <item x="78"/>
        <item x="177"/>
        <item x="170"/>
        <item x="220"/>
        <item x="117"/>
        <item x="166"/>
        <item x="240"/>
        <item x="106"/>
        <item x="131"/>
        <item x="438"/>
        <item x="235"/>
        <item x="69"/>
        <item x="293"/>
        <item x="498"/>
        <item x="5"/>
        <item x="169"/>
        <item x="483"/>
        <item x="487"/>
        <item x="409"/>
        <item x="267"/>
        <item x="38"/>
        <item x="309"/>
        <item x="98"/>
        <item x="475"/>
        <item x="312"/>
        <item x="124"/>
        <item x="339"/>
        <item x="168"/>
        <item x="91"/>
        <item x="100"/>
        <item x="29"/>
        <item x="401"/>
        <item x="361"/>
        <item x="116"/>
        <item x="32"/>
        <item x="426"/>
        <item x="492"/>
        <item x="353"/>
        <item x="108"/>
        <item x="58"/>
        <item x="296"/>
        <item x="107"/>
        <item x="389"/>
        <item x="268"/>
        <item x="356"/>
        <item x="150"/>
        <item x="53"/>
        <item x="37"/>
        <item x="52"/>
        <item x="118"/>
        <item x="499"/>
        <item x="403"/>
        <item x="224"/>
        <item x="376"/>
        <item x="287"/>
        <item x="246"/>
        <item x="210"/>
        <item x="349"/>
        <item x="263"/>
        <item x="271"/>
        <item x="443"/>
        <item x="200"/>
        <item x="74"/>
        <item x="184"/>
        <item x="160"/>
        <item x="264"/>
        <item x="134"/>
        <item x="64"/>
        <item x="86"/>
        <item x="448"/>
        <item x="417"/>
        <item x="152"/>
        <item x="179"/>
        <item x="418"/>
        <item x="242"/>
        <item x="136"/>
        <item x="129"/>
        <item x="397"/>
        <item x="260"/>
        <item x="68"/>
        <item x="368"/>
        <item x="413"/>
        <item x="340"/>
        <item x="42"/>
        <item x="329"/>
        <item x="199"/>
        <item x="115"/>
        <item x="362"/>
        <item x="50"/>
        <item x="176"/>
        <item x="280"/>
        <item x="453"/>
        <item x="13"/>
        <item x="326"/>
        <item x="114"/>
        <item x="81"/>
        <item x="143"/>
        <item x="208"/>
        <item x="139"/>
        <item x="45"/>
        <item x="211"/>
        <item x="102"/>
        <item x="41"/>
        <item x="371"/>
        <item x="174"/>
        <item x="66"/>
        <item x="70"/>
        <item x="308"/>
        <item x="465"/>
        <item x="456"/>
        <item x="156"/>
        <item x="359"/>
        <item x="188"/>
        <item x="360"/>
        <item x="245"/>
        <item x="62"/>
        <item x="276"/>
        <item x="84"/>
        <item x="55"/>
        <item x="275"/>
        <item x="250"/>
        <item x="345"/>
        <item x="369"/>
        <item x="15"/>
        <item x="420"/>
        <item x="167"/>
        <item x="375"/>
        <item x="12"/>
        <item x="82"/>
        <item x="258"/>
        <item x="396"/>
        <item x="225"/>
        <item x="315"/>
        <item x="447"/>
        <item x="161"/>
        <item x="495"/>
        <item x="155"/>
        <item x="204"/>
        <item x="478"/>
        <item x="432"/>
        <item x="393"/>
        <item x="122"/>
        <item x="157"/>
        <item x="87"/>
        <item x="8"/>
        <item x="30"/>
        <item x="110"/>
        <item x="195"/>
        <item x="259"/>
        <item x="51"/>
        <item x="289"/>
        <item x="128"/>
        <item x="172"/>
        <item x="279"/>
        <item x="34"/>
        <item x="299"/>
        <item x="348"/>
        <item x="56"/>
        <item x="215"/>
        <item x="304"/>
        <item x="328"/>
        <item x="190"/>
        <item x="295"/>
        <item x="372"/>
        <item x="154"/>
        <item x="436"/>
        <item x="363"/>
        <item x="357"/>
        <item x="125"/>
        <item x="35"/>
        <item x="392"/>
        <item x="366"/>
        <item x="335"/>
        <item x="364"/>
        <item x="244"/>
        <item x="398"/>
        <item x="429"/>
        <item x="480"/>
        <item x="394"/>
        <item x="76"/>
        <item x="92"/>
        <item x="347"/>
        <item x="1"/>
        <item x="435"/>
        <item x="97"/>
        <item x="324"/>
        <item x="94"/>
        <item x="4"/>
        <item x="9"/>
        <item x="440"/>
        <item x="333"/>
        <item x="178"/>
        <item x="249"/>
        <item x="252"/>
        <item x="31"/>
        <item x="209"/>
        <item x="316"/>
        <item x="355"/>
        <item x="266"/>
        <item x="119"/>
        <item x="104"/>
        <item x="138"/>
        <item x="3"/>
        <item x="6"/>
        <item x="59"/>
        <item x="352"/>
        <item x="274"/>
        <item x="292"/>
        <item x="248"/>
        <item x="424"/>
        <item x="336"/>
        <item x="486"/>
        <item x="47"/>
        <item x="33"/>
        <item x="469"/>
        <item x="192"/>
        <item x="410"/>
        <item x="307"/>
        <item x="10"/>
        <item x="28"/>
        <item x="317"/>
        <item x="331"/>
        <item x="367"/>
        <item x="135"/>
        <item x="370"/>
        <item x="325"/>
        <item x="49"/>
        <item x="171"/>
        <item x="175"/>
        <item x="163"/>
        <item x="390"/>
        <item x="474"/>
        <item x="137"/>
        <item x="445"/>
        <item x="471"/>
        <item x="311"/>
        <item x="44"/>
        <item x="455"/>
        <item x="186"/>
        <item x="105"/>
        <item x="20"/>
        <item x="493"/>
        <item x="254"/>
        <item x="130"/>
        <item x="238"/>
        <item x="406"/>
        <item x="189"/>
        <item x="75"/>
        <item x="71"/>
        <item x="233"/>
        <item x="255"/>
        <item x="463"/>
        <item x="232"/>
        <item x="123"/>
        <item x="387"/>
        <item x="466"/>
        <item x="101"/>
        <item x="96"/>
        <item x="90"/>
        <item x="427"/>
        <item x="227"/>
        <item x="297"/>
        <item x="437"/>
        <item x="19"/>
        <item x="144"/>
        <item x="226"/>
        <item x="497"/>
        <item x="314"/>
        <item x="72"/>
        <item x="462"/>
        <item x="187"/>
        <item x="24"/>
        <item x="239"/>
        <item x="290"/>
        <item x="18"/>
        <item x="399"/>
        <item x="489"/>
        <item x="283"/>
        <item x="151"/>
        <item x="113"/>
        <item x="46"/>
        <item x="344"/>
        <item x="444"/>
        <item x="407"/>
        <item x="322"/>
        <item x="450"/>
        <item x="201"/>
        <item x="484"/>
        <item x="158"/>
        <item x="434"/>
        <item x="305"/>
        <item x="261"/>
        <item x="219"/>
        <item x="482"/>
        <item x="36"/>
        <item x="217"/>
        <item x="433"/>
        <item x="2"/>
        <item x="351"/>
        <item x="133"/>
        <item x="320"/>
        <item x="288"/>
        <item x="7"/>
        <item x="60"/>
        <item x="269"/>
        <item x="488"/>
        <item x="342"/>
        <item x="221"/>
        <item x="472"/>
        <item x="132"/>
        <item x="310"/>
        <item x="302"/>
        <item x="270"/>
        <item x="109"/>
        <item x="423"/>
        <item x="277"/>
        <item x="230"/>
        <item x="419"/>
        <item x="281"/>
        <item x="27"/>
        <item x="247"/>
        <item x="61"/>
        <item x="83"/>
        <item x="22"/>
        <item x="416"/>
        <item x="103"/>
        <item x="65"/>
        <item x="439"/>
        <item x="48"/>
        <item x="241"/>
        <item x="408"/>
        <item x="446"/>
        <item x="181"/>
        <item x="365"/>
        <item x="285"/>
        <item x="88"/>
        <item x="95"/>
        <item x="500"/>
        <item t="default"/>
      </items>
    </pivotField>
    <pivotField axis="axisCol" showAll="0">
      <items count="7">
        <item x="4"/>
        <item x="1"/>
        <item x="0"/>
        <item x="3"/>
        <item x="2"/>
        <item x="5"/>
        <item t="default"/>
      </items>
    </pivotField>
    <pivotField axis="axisPage" multipleItemSelectionAllowed="1" showAll="0">
      <items count="6">
        <item x="2"/>
        <item x="0"/>
        <item x="1"/>
        <item x="3"/>
        <item x="4"/>
        <item t="default"/>
      </items>
    </pivotField>
    <pivotField showAll="0"/>
    <pivotField showAll="0">
      <items count="308">
        <item x="227"/>
        <item x="274"/>
        <item x="277"/>
        <item x="143"/>
        <item x="145"/>
        <item x="110"/>
        <item x="122"/>
        <item x="151"/>
        <item x="162"/>
        <item x="268"/>
        <item x="39"/>
        <item x="229"/>
        <item x="264"/>
        <item x="172"/>
        <item x="217"/>
        <item x="125"/>
        <item x="45"/>
        <item x="24"/>
        <item x="300"/>
        <item x="169"/>
        <item x="57"/>
        <item x="228"/>
        <item x="237"/>
        <item x="133"/>
        <item x="204"/>
        <item x="258"/>
        <item x="192"/>
        <item x="50"/>
        <item x="270"/>
        <item x="121"/>
        <item x="124"/>
        <item x="213"/>
        <item x="33"/>
        <item x="293"/>
        <item x="79"/>
        <item x="18"/>
        <item x="80"/>
        <item x="225"/>
        <item x="98"/>
        <item x="63"/>
        <item x="215"/>
        <item x="44"/>
        <item x="275"/>
        <item x="235"/>
        <item x="30"/>
        <item x="177"/>
        <item x="142"/>
        <item x="190"/>
        <item x="247"/>
        <item x="199"/>
        <item x="105"/>
        <item x="67"/>
        <item x="197"/>
        <item x="282"/>
        <item x="265"/>
        <item x="25"/>
        <item x="305"/>
        <item x="206"/>
        <item x="244"/>
        <item x="194"/>
        <item x="71"/>
        <item x="51"/>
        <item x="262"/>
        <item x="70"/>
        <item x="168"/>
        <item x="23"/>
        <item x="147"/>
        <item x="88"/>
        <item x="209"/>
        <item x="37"/>
        <item x="56"/>
        <item x="272"/>
        <item x="173"/>
        <item x="297"/>
        <item x="43"/>
        <item x="248"/>
        <item x="158"/>
        <item x="101"/>
        <item x="186"/>
        <item x="281"/>
        <item x="295"/>
        <item x="207"/>
        <item x="46"/>
        <item x="83"/>
        <item x="140"/>
        <item x="159"/>
        <item x="299"/>
        <item x="191"/>
        <item x="108"/>
        <item x="179"/>
        <item x="203"/>
        <item x="202"/>
        <item x="266"/>
        <item x="254"/>
        <item x="119"/>
        <item x="66"/>
        <item x="253"/>
        <item x="230"/>
        <item x="15"/>
        <item x="114"/>
        <item x="221"/>
        <item x="220"/>
        <item x="40"/>
        <item x="19"/>
        <item x="164"/>
        <item x="153"/>
        <item x="224"/>
        <item x="31"/>
        <item x="303"/>
        <item x="47"/>
        <item x="68"/>
        <item x="53"/>
        <item x="127"/>
        <item x="85"/>
        <item x="234"/>
        <item x="198"/>
        <item x="157"/>
        <item x="78"/>
        <item x="8"/>
        <item x="306"/>
        <item x="103"/>
        <item x="183"/>
        <item x="287"/>
        <item x="69"/>
        <item x="26"/>
        <item x="95"/>
        <item x="304"/>
        <item x="135"/>
        <item x="155"/>
        <item x="4"/>
        <item x="278"/>
        <item x="13"/>
        <item x="161"/>
        <item x="160"/>
        <item x="132"/>
        <item x="117"/>
        <item x="249"/>
        <item x="58"/>
        <item x="180"/>
        <item x="72"/>
        <item x="123"/>
        <item x="62"/>
        <item x="34"/>
        <item x="29"/>
        <item x="112"/>
        <item x="141"/>
        <item x="288"/>
        <item x="273"/>
        <item x="113"/>
        <item x="126"/>
        <item x="219"/>
        <item x="210"/>
        <item x="251"/>
        <item x="74"/>
        <item x="75"/>
        <item x="241"/>
        <item x="250"/>
        <item x="223"/>
        <item x="285"/>
        <item x="17"/>
        <item x="35"/>
        <item x="178"/>
        <item x="243"/>
        <item x="48"/>
        <item x="111"/>
        <item x="2"/>
        <item x="146"/>
        <item x="118"/>
        <item x="11"/>
        <item x="296"/>
        <item x="276"/>
        <item x="170"/>
        <item x="28"/>
        <item x="242"/>
        <item x="232"/>
        <item x="20"/>
        <item x="77"/>
        <item x="279"/>
        <item x="99"/>
        <item x="184"/>
        <item x="5"/>
        <item x="267"/>
        <item x="294"/>
        <item x="212"/>
        <item x="290"/>
        <item x="181"/>
        <item x="269"/>
        <item x="138"/>
        <item x="0"/>
        <item x="27"/>
        <item x="200"/>
        <item x="201"/>
        <item x="196"/>
        <item x="54"/>
        <item x="52"/>
        <item x="7"/>
        <item x="195"/>
        <item x="226"/>
        <item x="286"/>
        <item x="233"/>
        <item x="129"/>
        <item x="131"/>
        <item x="89"/>
        <item x="182"/>
        <item x="185"/>
        <item x="93"/>
        <item x="76"/>
        <item x="32"/>
        <item x="109"/>
        <item x="3"/>
        <item x="193"/>
        <item x="152"/>
        <item x="148"/>
        <item x="188"/>
        <item x="289"/>
        <item x="22"/>
        <item x="82"/>
        <item x="255"/>
        <item x="301"/>
        <item x="97"/>
        <item x="94"/>
        <item x="144"/>
        <item x="92"/>
        <item x="134"/>
        <item x="73"/>
        <item x="222"/>
        <item x="238"/>
        <item x="139"/>
        <item x="298"/>
        <item x="41"/>
        <item x="166"/>
        <item x="136"/>
        <item x="236"/>
        <item x="174"/>
        <item x="239"/>
        <item x="154"/>
        <item x="245"/>
        <item x="302"/>
        <item x="130"/>
        <item x="84"/>
        <item x="176"/>
        <item x="96"/>
        <item x="128"/>
        <item x="231"/>
        <item x="218"/>
        <item x="12"/>
        <item x="292"/>
        <item x="137"/>
        <item x="60"/>
        <item x="156"/>
        <item x="90"/>
        <item x="150"/>
        <item x="165"/>
        <item x="216"/>
        <item x="284"/>
        <item x="55"/>
        <item x="64"/>
        <item x="36"/>
        <item x="211"/>
        <item x="283"/>
        <item x="120"/>
        <item x="259"/>
        <item x="240"/>
        <item x="1"/>
        <item x="205"/>
        <item x="261"/>
        <item x="246"/>
        <item x="42"/>
        <item x="163"/>
        <item x="14"/>
        <item x="263"/>
        <item x="257"/>
        <item x="149"/>
        <item x="260"/>
        <item x="38"/>
        <item x="252"/>
        <item x="91"/>
        <item x="100"/>
        <item x="49"/>
        <item x="86"/>
        <item x="81"/>
        <item x="87"/>
        <item x="9"/>
        <item x="61"/>
        <item x="208"/>
        <item x="189"/>
        <item x="187"/>
        <item x="214"/>
        <item x="106"/>
        <item x="21"/>
        <item x="167"/>
        <item x="107"/>
        <item x="65"/>
        <item x="115"/>
        <item x="116"/>
        <item x="6"/>
        <item x="175"/>
        <item x="271"/>
        <item x="59"/>
        <item x="102"/>
        <item x="256"/>
        <item x="291"/>
        <item x="171"/>
        <item x="16"/>
        <item x="104"/>
        <item x="280"/>
        <item x="10"/>
        <item t="default"/>
      </items>
    </pivotField>
    <pivotField showAll="0">
      <items count="5">
        <item x="0"/>
        <item x="1"/>
        <item x="2"/>
        <item x="3"/>
        <item t="default"/>
      </items>
    </pivotField>
    <pivotField showAll="0"/>
  </pivotFields>
  <rowFields count="1">
    <field x="6"/>
  </rowFields>
  <rowItems count="5">
    <i>
      <x/>
    </i>
    <i>
      <x v="1"/>
    </i>
    <i>
      <x v="2"/>
    </i>
    <i>
      <x v="3"/>
    </i>
    <i t="grand">
      <x/>
    </i>
  </rowItems>
  <colFields count="1">
    <field x="13"/>
  </colFields>
  <colItems count="7">
    <i>
      <x/>
    </i>
    <i>
      <x v="1"/>
    </i>
    <i>
      <x v="2"/>
    </i>
    <i>
      <x v="3"/>
    </i>
    <i>
      <x v="4"/>
    </i>
    <i>
      <x v="5"/>
    </i>
    <i t="grand">
      <x/>
    </i>
  </colItems>
  <pageFields count="1">
    <pageField fld="14" hier="-1"/>
  </pageFields>
  <dataFields count="1">
    <dataField name="Count of Loan ID" fld="0" subtotal="count" baseField="0" baseItem="0"/>
  </dataFields>
  <chartFormats count="7">
    <chartFormat chart="5" format="12" series="1">
      <pivotArea type="data" outline="0" fieldPosition="0">
        <references count="2">
          <reference field="4294967294" count="1" selected="0">
            <x v="0"/>
          </reference>
          <reference field="13" count="1" selected="0">
            <x v="0"/>
          </reference>
        </references>
      </pivotArea>
    </chartFormat>
    <chartFormat chart="5" format="13" series="1">
      <pivotArea type="data" outline="0" fieldPosition="0">
        <references count="2">
          <reference field="4294967294" count="1" selected="0">
            <x v="0"/>
          </reference>
          <reference field="13" count="1" selected="0">
            <x v="1"/>
          </reference>
        </references>
      </pivotArea>
    </chartFormat>
    <chartFormat chart="5" format="14" series="1">
      <pivotArea type="data" outline="0" fieldPosition="0">
        <references count="2">
          <reference field="4294967294" count="1" selected="0">
            <x v="0"/>
          </reference>
          <reference field="13" count="1" selected="0">
            <x v="2"/>
          </reference>
        </references>
      </pivotArea>
    </chartFormat>
    <chartFormat chart="5" format="15" series="1">
      <pivotArea type="data" outline="0" fieldPosition="0">
        <references count="2">
          <reference field="4294967294" count="1" selected="0">
            <x v="0"/>
          </reference>
          <reference field="13" count="1" selected="0">
            <x v="3"/>
          </reference>
        </references>
      </pivotArea>
    </chartFormat>
    <chartFormat chart="5" format="16" series="1">
      <pivotArea type="data" outline="0" fieldPosition="0">
        <references count="2">
          <reference field="4294967294" count="1" selected="0">
            <x v="0"/>
          </reference>
          <reference field="13" count="1" selected="0">
            <x v="4"/>
          </reference>
        </references>
      </pivotArea>
    </chartFormat>
    <chartFormat chart="5" format="17" series="1">
      <pivotArea type="data" outline="0" fieldPosition="0">
        <references count="2">
          <reference field="4294967294" count="1" selected="0">
            <x v="0"/>
          </reference>
          <reference field="13" count="1" selected="0">
            <x v="5"/>
          </reference>
        </references>
      </pivotArea>
    </chartFormat>
    <chartFormat chart="5"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436E98-1C98-4422-A8FB-0793A0AE12B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items count="7">
        <item x="4"/>
        <item x="1"/>
        <item x="0"/>
        <item x="3"/>
        <item x="2"/>
        <item x="5"/>
        <item t="default"/>
      </items>
    </pivotField>
    <pivotField showAll="0">
      <items count="6">
        <item x="2"/>
        <item x="0"/>
        <item x="1"/>
        <item x="3"/>
        <item x="4"/>
        <item t="default"/>
      </items>
    </pivotField>
    <pivotField showAll="0"/>
    <pivotField showAll="0">
      <items count="308">
        <item x="227"/>
        <item x="274"/>
        <item x="277"/>
        <item x="143"/>
        <item x="145"/>
        <item x="110"/>
        <item x="122"/>
        <item x="151"/>
        <item x="162"/>
        <item x="268"/>
        <item x="39"/>
        <item x="229"/>
        <item x="264"/>
        <item x="172"/>
        <item x="217"/>
        <item x="125"/>
        <item x="45"/>
        <item x="24"/>
        <item x="300"/>
        <item x="169"/>
        <item x="57"/>
        <item x="228"/>
        <item x="237"/>
        <item x="133"/>
        <item x="204"/>
        <item x="258"/>
        <item x="192"/>
        <item x="50"/>
        <item x="270"/>
        <item x="121"/>
        <item x="124"/>
        <item x="213"/>
        <item x="33"/>
        <item x="293"/>
        <item x="79"/>
        <item x="18"/>
        <item x="80"/>
        <item x="225"/>
        <item x="98"/>
        <item x="63"/>
        <item x="215"/>
        <item x="44"/>
        <item x="275"/>
        <item x="235"/>
        <item x="30"/>
        <item x="177"/>
        <item x="142"/>
        <item x="190"/>
        <item x="247"/>
        <item x="199"/>
        <item x="105"/>
        <item x="67"/>
        <item x="197"/>
        <item x="282"/>
        <item x="265"/>
        <item x="25"/>
        <item x="305"/>
        <item x="206"/>
        <item x="244"/>
        <item x="194"/>
        <item x="71"/>
        <item x="51"/>
        <item x="262"/>
        <item x="70"/>
        <item x="168"/>
        <item x="23"/>
        <item x="147"/>
        <item x="88"/>
        <item x="209"/>
        <item x="37"/>
        <item x="56"/>
        <item x="272"/>
        <item x="173"/>
        <item x="297"/>
        <item x="43"/>
        <item x="248"/>
        <item x="158"/>
        <item x="101"/>
        <item x="186"/>
        <item x="281"/>
        <item x="295"/>
        <item x="207"/>
        <item x="46"/>
        <item x="83"/>
        <item x="140"/>
        <item x="159"/>
        <item x="299"/>
        <item x="191"/>
        <item x="108"/>
        <item x="179"/>
        <item x="203"/>
        <item x="202"/>
        <item x="266"/>
        <item x="254"/>
        <item x="119"/>
        <item x="66"/>
        <item x="253"/>
        <item x="230"/>
        <item x="15"/>
        <item x="114"/>
        <item x="221"/>
        <item x="220"/>
        <item x="40"/>
        <item x="19"/>
        <item x="164"/>
        <item x="153"/>
        <item x="224"/>
        <item x="31"/>
        <item x="303"/>
        <item x="47"/>
        <item x="68"/>
        <item x="53"/>
        <item x="127"/>
        <item x="85"/>
        <item x="234"/>
        <item x="198"/>
        <item x="157"/>
        <item x="78"/>
        <item x="8"/>
        <item x="306"/>
        <item x="103"/>
        <item x="183"/>
        <item x="287"/>
        <item x="69"/>
        <item x="26"/>
        <item x="95"/>
        <item x="304"/>
        <item x="135"/>
        <item x="155"/>
        <item x="4"/>
        <item x="278"/>
        <item x="13"/>
        <item x="161"/>
        <item x="160"/>
        <item x="132"/>
        <item x="117"/>
        <item x="249"/>
        <item x="58"/>
        <item x="180"/>
        <item x="72"/>
        <item x="123"/>
        <item x="62"/>
        <item x="34"/>
        <item x="29"/>
        <item x="112"/>
        <item x="141"/>
        <item x="288"/>
        <item x="273"/>
        <item x="113"/>
        <item x="126"/>
        <item x="219"/>
        <item x="210"/>
        <item x="251"/>
        <item x="74"/>
        <item x="75"/>
        <item x="241"/>
        <item x="250"/>
        <item x="223"/>
        <item x="285"/>
        <item x="17"/>
        <item x="35"/>
        <item x="178"/>
        <item x="243"/>
        <item x="48"/>
        <item x="111"/>
        <item x="2"/>
        <item x="146"/>
        <item x="118"/>
        <item x="11"/>
        <item x="296"/>
        <item x="276"/>
        <item x="170"/>
        <item x="28"/>
        <item x="242"/>
        <item x="232"/>
        <item x="20"/>
        <item x="77"/>
        <item x="279"/>
        <item x="99"/>
        <item x="184"/>
        <item x="5"/>
        <item x="267"/>
        <item x="294"/>
        <item x="212"/>
        <item x="290"/>
        <item x="181"/>
        <item x="269"/>
        <item x="138"/>
        <item x="0"/>
        <item x="27"/>
        <item x="200"/>
        <item x="201"/>
        <item x="196"/>
        <item x="54"/>
        <item x="52"/>
        <item x="7"/>
        <item x="195"/>
        <item x="226"/>
        <item x="286"/>
        <item x="233"/>
        <item x="129"/>
        <item x="131"/>
        <item x="89"/>
        <item x="182"/>
        <item x="185"/>
        <item x="93"/>
        <item x="76"/>
        <item x="32"/>
        <item x="109"/>
        <item x="3"/>
        <item x="193"/>
        <item x="152"/>
        <item x="148"/>
        <item x="188"/>
        <item x="289"/>
        <item x="22"/>
        <item x="82"/>
        <item x="255"/>
        <item x="301"/>
        <item x="97"/>
        <item x="94"/>
        <item x="144"/>
        <item x="92"/>
        <item x="134"/>
        <item x="73"/>
        <item x="222"/>
        <item x="238"/>
        <item x="139"/>
        <item x="298"/>
        <item x="41"/>
        <item x="166"/>
        <item x="136"/>
        <item x="236"/>
        <item x="174"/>
        <item x="239"/>
        <item x="154"/>
        <item x="245"/>
        <item x="302"/>
        <item x="130"/>
        <item x="84"/>
        <item x="176"/>
        <item x="96"/>
        <item x="128"/>
        <item x="231"/>
        <item x="218"/>
        <item x="12"/>
        <item x="292"/>
        <item x="137"/>
        <item x="60"/>
        <item x="156"/>
        <item x="90"/>
        <item x="150"/>
        <item x="165"/>
        <item x="216"/>
        <item x="284"/>
        <item x="55"/>
        <item x="64"/>
        <item x="36"/>
        <item x="211"/>
        <item x="283"/>
        <item x="120"/>
        <item x="259"/>
        <item x="240"/>
        <item x="1"/>
        <item x="205"/>
        <item x="261"/>
        <item x="246"/>
        <item x="42"/>
        <item x="163"/>
        <item x="14"/>
        <item x="263"/>
        <item x="257"/>
        <item x="149"/>
        <item x="260"/>
        <item x="38"/>
        <item x="252"/>
        <item x="91"/>
        <item x="100"/>
        <item x="49"/>
        <item x="86"/>
        <item x="81"/>
        <item x="87"/>
        <item x="9"/>
        <item x="61"/>
        <item x="208"/>
        <item x="189"/>
        <item x="187"/>
        <item x="214"/>
        <item x="106"/>
        <item x="21"/>
        <item x="167"/>
        <item x="107"/>
        <item x="65"/>
        <item x="115"/>
        <item x="116"/>
        <item x="6"/>
        <item x="175"/>
        <item x="271"/>
        <item x="59"/>
        <item x="102"/>
        <item x="256"/>
        <item x="291"/>
        <item x="171"/>
        <item x="16"/>
        <item x="104"/>
        <item x="280"/>
        <item x="10"/>
        <item t="default"/>
      </items>
    </pivotField>
    <pivotField showAll="0">
      <items count="5">
        <item x="0"/>
        <item x="1"/>
        <item x="2"/>
        <item x="3"/>
        <item t="default"/>
      </items>
    </pivotField>
    <pivotField showAll="0"/>
  </pivotFields>
  <rowItems count="1">
    <i/>
  </rowItems>
  <colItems count="1">
    <i/>
  </colItems>
  <dataFields count="1">
    <dataField name="Count of Loa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D17662-850D-4236-92E3-14AAB2EA9BFB}"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5" firstHeaderRow="1" firstDataRow="1" firstDataCol="1"/>
  <pivotFields count="19">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items count="7">
        <item x="4"/>
        <item x="1"/>
        <item x="0"/>
        <item x="3"/>
        <item x="2"/>
        <item x="5"/>
        <item t="default"/>
      </items>
    </pivotField>
    <pivotField showAll="0">
      <items count="6">
        <item x="2"/>
        <item x="0"/>
        <item x="1"/>
        <item x="3"/>
        <item x="4"/>
        <item t="default"/>
      </items>
    </pivotField>
    <pivotField showAll="0"/>
    <pivotField showAll="0">
      <items count="308">
        <item x="227"/>
        <item x="274"/>
        <item x="277"/>
        <item x="143"/>
        <item x="145"/>
        <item x="110"/>
        <item x="122"/>
        <item x="151"/>
        <item x="162"/>
        <item x="268"/>
        <item x="39"/>
        <item x="229"/>
        <item x="264"/>
        <item x="172"/>
        <item x="217"/>
        <item x="125"/>
        <item x="45"/>
        <item x="24"/>
        <item x="300"/>
        <item x="169"/>
        <item x="57"/>
        <item x="228"/>
        <item x="237"/>
        <item x="133"/>
        <item x="204"/>
        <item x="258"/>
        <item x="192"/>
        <item x="50"/>
        <item x="270"/>
        <item x="121"/>
        <item x="124"/>
        <item x="213"/>
        <item x="33"/>
        <item x="293"/>
        <item x="79"/>
        <item x="18"/>
        <item x="80"/>
        <item x="225"/>
        <item x="98"/>
        <item x="63"/>
        <item x="215"/>
        <item x="44"/>
        <item x="275"/>
        <item x="235"/>
        <item x="30"/>
        <item x="177"/>
        <item x="142"/>
        <item x="190"/>
        <item x="247"/>
        <item x="199"/>
        <item x="105"/>
        <item x="67"/>
        <item x="197"/>
        <item x="282"/>
        <item x="265"/>
        <item x="25"/>
        <item x="305"/>
        <item x="206"/>
        <item x="244"/>
        <item x="194"/>
        <item x="71"/>
        <item x="51"/>
        <item x="262"/>
        <item x="70"/>
        <item x="168"/>
        <item x="23"/>
        <item x="147"/>
        <item x="88"/>
        <item x="209"/>
        <item x="37"/>
        <item x="56"/>
        <item x="272"/>
        <item x="173"/>
        <item x="297"/>
        <item x="43"/>
        <item x="248"/>
        <item x="158"/>
        <item x="101"/>
        <item x="186"/>
        <item x="281"/>
        <item x="295"/>
        <item x="207"/>
        <item x="46"/>
        <item x="83"/>
        <item x="140"/>
        <item x="159"/>
        <item x="299"/>
        <item x="191"/>
        <item x="108"/>
        <item x="179"/>
        <item x="203"/>
        <item x="202"/>
        <item x="266"/>
        <item x="254"/>
        <item x="119"/>
        <item x="66"/>
        <item x="253"/>
        <item x="230"/>
        <item x="15"/>
        <item x="114"/>
        <item x="221"/>
        <item x="220"/>
        <item x="40"/>
        <item x="19"/>
        <item x="164"/>
        <item x="153"/>
        <item x="224"/>
        <item x="31"/>
        <item x="303"/>
        <item x="47"/>
        <item x="68"/>
        <item x="53"/>
        <item x="127"/>
        <item x="85"/>
        <item x="234"/>
        <item x="198"/>
        <item x="157"/>
        <item x="78"/>
        <item x="8"/>
        <item x="306"/>
        <item x="103"/>
        <item x="183"/>
        <item x="287"/>
        <item x="69"/>
        <item x="26"/>
        <item x="95"/>
        <item x="304"/>
        <item x="135"/>
        <item x="155"/>
        <item x="4"/>
        <item x="278"/>
        <item x="13"/>
        <item x="161"/>
        <item x="160"/>
        <item x="132"/>
        <item x="117"/>
        <item x="249"/>
        <item x="58"/>
        <item x="180"/>
        <item x="72"/>
        <item x="123"/>
        <item x="62"/>
        <item x="34"/>
        <item x="29"/>
        <item x="112"/>
        <item x="141"/>
        <item x="288"/>
        <item x="273"/>
        <item x="113"/>
        <item x="126"/>
        <item x="219"/>
        <item x="210"/>
        <item x="251"/>
        <item x="74"/>
        <item x="75"/>
        <item x="241"/>
        <item x="250"/>
        <item x="223"/>
        <item x="285"/>
        <item x="17"/>
        <item x="35"/>
        <item x="178"/>
        <item x="243"/>
        <item x="48"/>
        <item x="111"/>
        <item x="2"/>
        <item x="146"/>
        <item x="118"/>
        <item x="11"/>
        <item x="296"/>
        <item x="276"/>
        <item x="170"/>
        <item x="28"/>
        <item x="242"/>
        <item x="232"/>
        <item x="20"/>
        <item x="77"/>
        <item x="279"/>
        <item x="99"/>
        <item x="184"/>
        <item x="5"/>
        <item x="267"/>
        <item x="294"/>
        <item x="212"/>
        <item x="290"/>
        <item x="181"/>
        <item x="269"/>
        <item x="138"/>
        <item x="0"/>
        <item x="27"/>
        <item x="200"/>
        <item x="201"/>
        <item x="196"/>
        <item x="54"/>
        <item x="52"/>
        <item x="7"/>
        <item x="195"/>
        <item x="226"/>
        <item x="286"/>
        <item x="233"/>
        <item x="129"/>
        <item x="131"/>
        <item x="89"/>
        <item x="182"/>
        <item x="185"/>
        <item x="93"/>
        <item x="76"/>
        <item x="32"/>
        <item x="109"/>
        <item x="3"/>
        <item x="193"/>
        <item x="152"/>
        <item x="148"/>
        <item x="188"/>
        <item x="289"/>
        <item x="22"/>
        <item x="82"/>
        <item x="255"/>
        <item x="301"/>
        <item x="97"/>
        <item x="94"/>
        <item x="144"/>
        <item x="92"/>
        <item x="134"/>
        <item x="73"/>
        <item x="222"/>
        <item x="238"/>
        <item x="139"/>
        <item x="298"/>
        <item x="41"/>
        <item x="166"/>
        <item x="136"/>
        <item x="236"/>
        <item x="174"/>
        <item x="239"/>
        <item x="154"/>
        <item x="245"/>
        <item x="302"/>
        <item x="130"/>
        <item x="84"/>
        <item x="176"/>
        <item x="96"/>
        <item x="128"/>
        <item x="231"/>
        <item x="218"/>
        <item x="12"/>
        <item x="292"/>
        <item x="137"/>
        <item x="60"/>
        <item x="156"/>
        <item x="90"/>
        <item x="150"/>
        <item x="165"/>
        <item x="216"/>
        <item x="284"/>
        <item x="55"/>
        <item x="64"/>
        <item x="36"/>
        <item x="211"/>
        <item x="283"/>
        <item x="120"/>
        <item x="259"/>
        <item x="240"/>
        <item x="1"/>
        <item x="205"/>
        <item x="261"/>
        <item x="246"/>
        <item x="42"/>
        <item x="163"/>
        <item x="14"/>
        <item x="263"/>
        <item x="257"/>
        <item x="149"/>
        <item x="260"/>
        <item x="38"/>
        <item x="252"/>
        <item x="91"/>
        <item x="100"/>
        <item x="49"/>
        <item x="86"/>
        <item x="81"/>
        <item x="87"/>
        <item x="9"/>
        <item x="61"/>
        <item x="208"/>
        <item x="189"/>
        <item x="187"/>
        <item x="214"/>
        <item x="106"/>
        <item x="21"/>
        <item x="167"/>
        <item x="107"/>
        <item x="65"/>
        <item x="115"/>
        <item x="116"/>
        <item x="6"/>
        <item x="175"/>
        <item x="271"/>
        <item x="59"/>
        <item x="102"/>
        <item x="256"/>
        <item x="291"/>
        <item x="171"/>
        <item x="16"/>
        <item x="104"/>
        <item x="280"/>
        <item x="10"/>
        <item t="default"/>
      </items>
    </pivotField>
    <pivotField showAll="0">
      <items count="5">
        <item x="0"/>
        <item x="1"/>
        <item x="2"/>
        <item x="3"/>
        <item t="default"/>
      </items>
    </pivotField>
    <pivotField dataField="1" showAll="0"/>
  </pivotFields>
  <rowFields count="1">
    <field x="3"/>
  </rowFields>
  <rowItems count="4">
    <i>
      <x/>
    </i>
    <i>
      <x v="1"/>
    </i>
    <i>
      <x v="2"/>
    </i>
    <i t="grand">
      <x/>
    </i>
  </rowItems>
  <colItems count="1">
    <i/>
  </colItems>
  <dataFields count="1">
    <dataField name="Sum of Default Flag" fld="1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3ABF95-048D-4908-B025-3D44C616DE06}" sourceName="Region">
  <pivotTables>
    <pivotTable tabId="3" name="PivotTable32"/>
    <pivotTable tabId="3" name="PivotTable19"/>
    <pivotTable tabId="3" name="PivotTable20"/>
    <pivotTable tabId="3" name="PivotTable21"/>
    <pivotTable tabId="3" name="PivotTable22"/>
    <pivotTable tabId="3" name="PivotTable23"/>
    <pivotTable tabId="3" name="PivotTable27"/>
    <pivotTable tabId="3" name="PivotTable28"/>
    <pivotTable tabId="3" name="PivotTable30"/>
  </pivotTables>
  <data>
    <tabular pivotCacheId="1595625505">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ADBA84EC-FD19-40D8-9D2D-271241F75A10}" sourceName="Loan Status">
  <pivotTables>
    <pivotTable tabId="3" name="PivotTable21"/>
    <pivotTable tabId="3" name="PivotTable19"/>
    <pivotTable tabId="3" name="PivotTable20"/>
    <pivotTable tabId="3" name="PivotTable22"/>
    <pivotTable tabId="3" name="PivotTable23"/>
    <pivotTable tabId="3" name="PivotTable27"/>
    <pivotTable tabId="3" name="PivotTable28"/>
    <pivotTable tabId="3" name="PivotTable30"/>
    <pivotTable tabId="3" name="PivotTable32"/>
  </pivotTables>
  <data>
    <tabular pivotCacheId="1595625505">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urpose" xr10:uid="{D1DEEC8C-BEF5-4498-9703-387358358819}" sourceName="Loan Purpose">
  <pivotTables>
    <pivotTable tabId="3" name="PivotTable20"/>
    <pivotTable tabId="3" name="PivotTable19"/>
    <pivotTable tabId="3" name="PivotTable21"/>
    <pivotTable tabId="3" name="PivotTable22"/>
    <pivotTable tabId="3" name="PivotTable23"/>
    <pivotTable tabId="3" name="PivotTable27"/>
    <pivotTable tabId="3" name="PivotTable28"/>
    <pivotTable tabId="3" name="PivotTable30"/>
    <pivotTable tabId="3" name="PivotTable32"/>
  </pivotTables>
  <data>
    <tabular pivotCacheId="1595625505">
      <items count="6">
        <i x="4" s="1"/>
        <i x="1" s="1"/>
        <i x="0" s="1"/>
        <i x="3"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45D01CA-8686-4E2A-91E1-AD1B76E82F1D}" cache="Slicer_Region" caption="Region" rowHeight="234950"/>
  <slicer name="Loan Status" xr10:uid="{3719DC9A-FC35-4E2F-BF77-A111ADF26FDF}" cache="Slicer_Loan_Status" caption="Loan Status" rowHeight="234950"/>
  <slicer name="Loan Purpose" xr10:uid="{576A9A97-6597-4AE0-A6CE-507B2199C157}" cache="Slicer_Loan_Purpose" caption="Loan Purpose" startItem="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146AB2-4C24-4674-86E3-6C2991212157}" name="Table1" displayName="Table1" ref="A1:R501" totalsRowShown="0" headerRowDxfId="0" dataDxfId="1" headerRowBorderDxfId="21" tableBorderDxfId="22" totalsRowBorderDxfId="20">
  <tableColumns count="18">
    <tableColumn id="1" xr3:uid="{BCC046AA-1F9C-4E9B-B5A2-6A39A066500D}" name="Loan_ID" dataDxfId="19"/>
    <tableColumn id="2" xr3:uid="{B3D904C0-B280-4125-8432-3F8CC1498452}" name="Customer_Name" dataDxfId="18"/>
    <tableColumn id="3" xr3:uid="{4B681CC4-C03F-4D3B-A4C0-1065C1D1BE8A}" name="Customer_Age" dataDxfId="17"/>
    <tableColumn id="4" xr3:uid="{38EE28FB-70EA-4E94-AD44-0D18C51B97E5}" name="Age_Group" dataDxfId="16"/>
    <tableColumn id="5" xr3:uid="{8C0F7B37-71DB-4DFF-9551-A542A3544596}" name="Gender" dataDxfId="15"/>
    <tableColumn id="6" xr3:uid="{D233DA13-AD27-4464-9695-EB9882F3CA54}" name="Income" dataDxfId="14"/>
    <tableColumn id="7" xr3:uid="{25B22C77-A574-444D-9F4F-B735DBDD0AEC}" name="Employment _Type" dataDxfId="13"/>
    <tableColumn id="8" xr3:uid="{D3765817-D875-4CB2-896F-3E582B74678E}" name="Credit_Score" dataDxfId="12"/>
    <tableColumn id="9" xr3:uid="{A4B2C4E2-B0F1-4361-AD84-B60A2188F2EC}" name="Credit_Score _Group" dataDxfId="11"/>
    <tableColumn id="10" xr3:uid="{1416F020-D0E1-4906-B75E-AFF6E208B286}" name="Loan_Amount" dataDxfId="10"/>
    <tableColumn id="11" xr3:uid="{FA220453-0968-42F7-98A7-B17B5816C586}" name="Loan_Term_(Years)" dataDxfId="9"/>
    <tableColumn id="12" xr3:uid="{80DD17B4-3063-4515-9BC5-8D32A0A14C77}" name="Interest_Rate" dataDxfId="8"/>
    <tableColumn id="13" xr3:uid="{DF4A0C3E-27C4-4833-AF67-907F868DA13D}" name="EMI" dataDxfId="7"/>
    <tableColumn id="14" xr3:uid="{4DF9CFFB-8671-48C5-9AF4-57D3EF9DC086}" name="Loan_Purpose" dataDxfId="6"/>
    <tableColumn id="15" xr3:uid="{47B8B7B6-FE15-47EF-895A-59A54C4263AD}" name="Region" dataDxfId="5"/>
    <tableColumn id="16" xr3:uid="{040F37B5-1282-4FDA-B87E-451878AF9919}" name="Application_Date" dataDxfId="4"/>
    <tableColumn id="17" xr3:uid="{9168DA1E-3581-47F2-9ED8-E91FDD329B87}" name="Loan_Status" dataDxfId="3"/>
    <tableColumn id="18" xr3:uid="{F9EF3082-5B0D-4C8A-97ED-824E0C2E3C0D}" name="Default_Flag"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51691-90B4-4269-8644-3EFE11CC5D52}">
  <dimension ref="A1:H52"/>
  <sheetViews>
    <sheetView topLeftCell="A25" zoomScale="85" zoomScaleNormal="85" workbookViewId="0">
      <selection activeCell="B25" sqref="B25"/>
    </sheetView>
  </sheetViews>
  <sheetFormatPr defaultRowHeight="14.4" x14ac:dyDescent="0.3"/>
  <cols>
    <col min="1" max="1" width="15.88671875" bestFit="1" customWidth="1"/>
    <col min="2" max="2" width="16.44140625" bestFit="1" customWidth="1"/>
    <col min="3" max="3" width="20.109375" bestFit="1" customWidth="1"/>
    <col min="4" max="4" width="9.88671875" bestFit="1" customWidth="1"/>
    <col min="5" max="5" width="34.109375" bestFit="1" customWidth="1"/>
    <col min="6" max="6" width="8.5546875" bestFit="1" customWidth="1"/>
    <col min="7" max="7" width="7.21875" bestFit="1" customWidth="1"/>
    <col min="8" max="8" width="11.44140625" bestFit="1" customWidth="1"/>
    <col min="9" max="297" width="6.109375" bestFit="1" customWidth="1"/>
    <col min="298" max="500" width="7.21875" bestFit="1" customWidth="1"/>
    <col min="501" max="501" width="20.109375" bestFit="1" customWidth="1"/>
    <col min="502" max="502" width="8.21875" bestFit="1" customWidth="1"/>
    <col min="503" max="505" width="7.21875" bestFit="1" customWidth="1"/>
    <col min="506" max="507" width="8.21875" bestFit="1" customWidth="1"/>
    <col min="508" max="510" width="7.21875" bestFit="1" customWidth="1"/>
    <col min="511" max="513" width="8.21875" bestFit="1" customWidth="1"/>
    <col min="514" max="517" width="7.21875" bestFit="1" customWidth="1"/>
    <col min="518" max="518" width="8.21875" bestFit="1" customWidth="1"/>
    <col min="519" max="519" width="7.21875" bestFit="1" customWidth="1"/>
    <col min="520" max="521" width="8.21875" bestFit="1" customWidth="1"/>
    <col min="522" max="522" width="7.21875" bestFit="1" customWidth="1"/>
    <col min="523" max="524" width="8.21875" bestFit="1" customWidth="1"/>
    <col min="525" max="525" width="7.21875" bestFit="1" customWidth="1"/>
    <col min="526" max="526" width="8.21875" bestFit="1" customWidth="1"/>
    <col min="527" max="527" width="7.21875" bestFit="1" customWidth="1"/>
    <col min="528" max="528" width="8.21875" bestFit="1" customWidth="1"/>
    <col min="529" max="530" width="7.21875" bestFit="1" customWidth="1"/>
    <col min="531" max="533" width="8.21875" bestFit="1" customWidth="1"/>
    <col min="534" max="534" width="7.21875" bestFit="1" customWidth="1"/>
    <col min="535" max="535" width="8.21875" bestFit="1" customWidth="1"/>
    <col min="536" max="537" width="7.21875" bestFit="1" customWidth="1"/>
    <col min="538" max="539" width="8.21875" bestFit="1" customWidth="1"/>
    <col min="540" max="540" width="7.21875" bestFit="1" customWidth="1"/>
    <col min="541" max="543" width="8.21875" bestFit="1" customWidth="1"/>
    <col min="544" max="544" width="7.21875" bestFit="1" customWidth="1"/>
    <col min="545" max="545" width="8.21875" bestFit="1" customWidth="1"/>
    <col min="546" max="546" width="7.21875" bestFit="1" customWidth="1"/>
    <col min="547" max="552" width="8.21875" bestFit="1" customWidth="1"/>
    <col min="553" max="554" width="7.21875" bestFit="1" customWidth="1"/>
    <col min="555" max="556" width="8.21875" bestFit="1" customWidth="1"/>
    <col min="557" max="558" width="7.21875" bestFit="1" customWidth="1"/>
    <col min="559" max="559" width="8.21875" bestFit="1" customWidth="1"/>
    <col min="560" max="561" width="7.21875" bestFit="1" customWidth="1"/>
    <col min="562" max="562" width="8.21875" bestFit="1" customWidth="1"/>
    <col min="563" max="570" width="7.21875" bestFit="1" customWidth="1"/>
    <col min="571" max="572" width="8.21875" bestFit="1" customWidth="1"/>
    <col min="573" max="573" width="7.21875" bestFit="1" customWidth="1"/>
    <col min="574" max="574" width="8.21875" bestFit="1" customWidth="1"/>
    <col min="575" max="576" width="7.21875" bestFit="1" customWidth="1"/>
    <col min="577" max="583" width="8.21875" bestFit="1" customWidth="1"/>
    <col min="584" max="585" width="7.21875" bestFit="1" customWidth="1"/>
    <col min="586" max="586" width="8.21875" bestFit="1" customWidth="1"/>
    <col min="587" max="587" width="7.21875" bestFit="1" customWidth="1"/>
    <col min="588" max="591" width="8.21875" bestFit="1" customWidth="1"/>
    <col min="592" max="596" width="7.21875" bestFit="1" customWidth="1"/>
    <col min="597" max="599" width="8.21875" bestFit="1" customWidth="1"/>
    <col min="600" max="601" width="7.21875" bestFit="1" customWidth="1"/>
    <col min="602" max="604" width="8.21875" bestFit="1" customWidth="1"/>
    <col min="605" max="608" width="7.21875" bestFit="1" customWidth="1"/>
    <col min="609" max="609" width="8.21875" bestFit="1" customWidth="1"/>
    <col min="610" max="611" width="7.21875" bestFit="1" customWidth="1"/>
    <col min="612" max="612" width="8.21875" bestFit="1" customWidth="1"/>
    <col min="613" max="613" width="7.21875" bestFit="1" customWidth="1"/>
    <col min="614" max="614" width="8.21875" bestFit="1" customWidth="1"/>
    <col min="615" max="619" width="7.21875" bestFit="1" customWidth="1"/>
    <col min="620" max="620" width="8.21875" bestFit="1" customWidth="1"/>
    <col min="621" max="624" width="7.21875" bestFit="1" customWidth="1"/>
    <col min="625" max="627" width="8.21875" bestFit="1" customWidth="1"/>
    <col min="628" max="628" width="7.21875" bestFit="1" customWidth="1"/>
    <col min="629" max="629" width="8.21875" bestFit="1" customWidth="1"/>
    <col min="630" max="630" width="7.21875" bestFit="1" customWidth="1"/>
    <col min="631" max="631" width="8.21875" bestFit="1" customWidth="1"/>
    <col min="632" max="632" width="7.21875" bestFit="1" customWidth="1"/>
    <col min="633" max="633" width="8.21875" bestFit="1" customWidth="1"/>
    <col min="634" max="635" width="7.21875" bestFit="1" customWidth="1"/>
    <col min="636" max="636" width="8.21875" bestFit="1" customWidth="1"/>
    <col min="637" max="639" width="7.21875" bestFit="1" customWidth="1"/>
    <col min="640" max="645" width="8.21875" bestFit="1" customWidth="1"/>
    <col min="646" max="646" width="7.21875" bestFit="1" customWidth="1"/>
    <col min="647" max="648" width="8.21875" bestFit="1" customWidth="1"/>
    <col min="649" max="650" width="7.21875" bestFit="1" customWidth="1"/>
    <col min="651" max="651" width="8.21875" bestFit="1" customWidth="1"/>
    <col min="652" max="652" width="7.21875" bestFit="1" customWidth="1"/>
    <col min="653" max="654" width="8.21875" bestFit="1" customWidth="1"/>
    <col min="655" max="655" width="7.21875" bestFit="1" customWidth="1"/>
    <col min="656" max="656" width="8.21875" bestFit="1" customWidth="1"/>
    <col min="657" max="660" width="7.21875" bestFit="1" customWidth="1"/>
    <col min="661" max="663" width="8.21875" bestFit="1" customWidth="1"/>
    <col min="664" max="664" width="7.21875" bestFit="1" customWidth="1"/>
    <col min="665" max="666" width="8.21875" bestFit="1" customWidth="1"/>
    <col min="667" max="667" width="7.21875" bestFit="1" customWidth="1"/>
    <col min="668" max="669" width="8.21875" bestFit="1" customWidth="1"/>
    <col min="670" max="671" width="7.21875" bestFit="1" customWidth="1"/>
    <col min="672" max="673" width="8.21875" bestFit="1" customWidth="1"/>
    <col min="674" max="675" width="7.21875" bestFit="1" customWidth="1"/>
    <col min="676" max="677" width="8.21875" bestFit="1" customWidth="1"/>
    <col min="678" max="680" width="7.21875" bestFit="1" customWidth="1"/>
    <col min="681" max="682" width="8.21875" bestFit="1" customWidth="1"/>
    <col min="683" max="683" width="7.21875" bestFit="1" customWidth="1"/>
    <col min="684" max="689" width="8.21875" bestFit="1" customWidth="1"/>
    <col min="690" max="692" width="7.21875" bestFit="1" customWidth="1"/>
    <col min="693" max="694" width="8.21875" bestFit="1" customWidth="1"/>
    <col min="695" max="695" width="7.21875" bestFit="1" customWidth="1"/>
    <col min="696" max="697" width="8.21875" bestFit="1" customWidth="1"/>
    <col min="698" max="699" width="7.21875" bestFit="1" customWidth="1"/>
    <col min="700" max="702" width="8.21875" bestFit="1" customWidth="1"/>
    <col min="703" max="705" width="7.21875" bestFit="1" customWidth="1"/>
    <col min="706" max="707" width="8.21875" bestFit="1" customWidth="1"/>
    <col min="708" max="708" width="7.21875" bestFit="1" customWidth="1"/>
    <col min="709" max="711" width="8.21875" bestFit="1" customWidth="1"/>
    <col min="712" max="712" width="7.21875" bestFit="1" customWidth="1"/>
    <col min="713" max="713" width="8.21875" bestFit="1" customWidth="1"/>
    <col min="714" max="717" width="7.21875" bestFit="1" customWidth="1"/>
    <col min="718" max="721" width="8.21875" bestFit="1" customWidth="1"/>
    <col min="722" max="723" width="7.21875" bestFit="1" customWidth="1"/>
    <col min="724" max="724" width="8.21875" bestFit="1" customWidth="1"/>
    <col min="725" max="725" width="7.21875" bestFit="1" customWidth="1"/>
    <col min="726" max="727" width="8.21875" bestFit="1" customWidth="1"/>
    <col min="728" max="729" width="7.21875" bestFit="1" customWidth="1"/>
    <col min="730" max="731" width="8.21875" bestFit="1" customWidth="1"/>
    <col min="732" max="732" width="7.21875" bestFit="1" customWidth="1"/>
    <col min="733" max="737" width="8.21875" bestFit="1" customWidth="1"/>
    <col min="738" max="738" width="7.21875" bestFit="1" customWidth="1"/>
    <col min="739" max="740" width="8.21875" bestFit="1" customWidth="1"/>
    <col min="741" max="743" width="7.21875" bestFit="1" customWidth="1"/>
    <col min="744" max="748" width="8.21875" bestFit="1" customWidth="1"/>
    <col min="749" max="749" width="7.21875" bestFit="1" customWidth="1"/>
    <col min="750" max="750" width="8.21875" bestFit="1" customWidth="1"/>
    <col min="751" max="752" width="7.21875" bestFit="1" customWidth="1"/>
    <col min="753" max="753" width="8.21875" bestFit="1" customWidth="1"/>
    <col min="754" max="754" width="7.21875" bestFit="1" customWidth="1"/>
    <col min="755" max="755" width="8.21875" bestFit="1" customWidth="1"/>
    <col min="756" max="757" width="7.21875" bestFit="1" customWidth="1"/>
    <col min="758" max="758" width="8.21875" bestFit="1" customWidth="1"/>
    <col min="759" max="759" width="7.21875" bestFit="1" customWidth="1"/>
    <col min="760" max="761" width="8.21875" bestFit="1" customWidth="1"/>
    <col min="762" max="762" width="7.21875" bestFit="1" customWidth="1"/>
    <col min="763" max="767" width="8.21875" bestFit="1" customWidth="1"/>
    <col min="768" max="769" width="7.21875" bestFit="1" customWidth="1"/>
    <col min="770" max="772" width="8.21875" bestFit="1" customWidth="1"/>
    <col min="773" max="773" width="7.21875" bestFit="1" customWidth="1"/>
    <col min="774" max="779" width="8.21875" bestFit="1" customWidth="1"/>
    <col min="780" max="781" width="7.21875" bestFit="1" customWidth="1"/>
    <col min="782" max="782" width="8.21875" bestFit="1" customWidth="1"/>
    <col min="783" max="783" width="7.21875" bestFit="1" customWidth="1"/>
    <col min="784" max="785" width="8.21875" bestFit="1" customWidth="1"/>
    <col min="786" max="786" width="7.21875" bestFit="1" customWidth="1"/>
    <col min="787" max="791" width="8.21875" bestFit="1" customWidth="1"/>
    <col min="792" max="792" width="7.21875" bestFit="1" customWidth="1"/>
    <col min="793" max="794" width="8.21875" bestFit="1" customWidth="1"/>
    <col min="795" max="797" width="7.21875" bestFit="1" customWidth="1"/>
    <col min="798" max="798" width="8.21875" bestFit="1" customWidth="1"/>
    <col min="799" max="799" width="7.21875" bestFit="1" customWidth="1"/>
    <col min="800" max="802" width="8.21875" bestFit="1" customWidth="1"/>
    <col min="803" max="805" width="7.21875" bestFit="1" customWidth="1"/>
    <col min="806" max="806" width="8.21875" bestFit="1" customWidth="1"/>
    <col min="807" max="807" width="7.21875" bestFit="1" customWidth="1"/>
    <col min="808" max="812" width="8.21875" bestFit="1" customWidth="1"/>
    <col min="813" max="813" width="7.21875" bestFit="1" customWidth="1"/>
    <col min="814" max="814" width="8.21875" bestFit="1" customWidth="1"/>
    <col min="815" max="817" width="7.21875" bestFit="1" customWidth="1"/>
    <col min="818" max="821" width="8.21875" bestFit="1" customWidth="1"/>
    <col min="822" max="822" width="7.21875" bestFit="1" customWidth="1"/>
    <col min="823" max="824" width="8.21875" bestFit="1" customWidth="1"/>
    <col min="825" max="826" width="7.21875" bestFit="1" customWidth="1"/>
    <col min="827" max="827" width="8.21875" bestFit="1" customWidth="1"/>
    <col min="828" max="828" width="7.21875" bestFit="1" customWidth="1"/>
    <col min="829" max="829" width="8.21875" bestFit="1" customWidth="1"/>
    <col min="830" max="830" width="7.21875" bestFit="1" customWidth="1"/>
    <col min="831" max="831" width="8.21875" bestFit="1" customWidth="1"/>
    <col min="832" max="832" width="7.21875" bestFit="1" customWidth="1"/>
    <col min="833" max="833" width="8.21875" bestFit="1" customWidth="1"/>
    <col min="834" max="834" width="7.21875" bestFit="1" customWidth="1"/>
    <col min="835" max="837" width="8.21875" bestFit="1" customWidth="1"/>
    <col min="838" max="839" width="7.21875" bestFit="1" customWidth="1"/>
    <col min="840" max="840" width="8.21875" bestFit="1" customWidth="1"/>
    <col min="841" max="842" width="7.21875" bestFit="1" customWidth="1"/>
    <col min="843" max="843" width="8.21875" bestFit="1" customWidth="1"/>
    <col min="844" max="845" width="7.21875" bestFit="1" customWidth="1"/>
    <col min="846" max="846" width="8.21875" bestFit="1" customWidth="1"/>
    <col min="847" max="849" width="7.21875" bestFit="1" customWidth="1"/>
    <col min="850" max="850" width="8.21875" bestFit="1" customWidth="1"/>
    <col min="851" max="854" width="7.21875" bestFit="1" customWidth="1"/>
    <col min="855" max="857" width="8.21875" bestFit="1" customWidth="1"/>
    <col min="858" max="860" width="7.21875" bestFit="1" customWidth="1"/>
    <col min="861" max="863" width="8.21875" bestFit="1" customWidth="1"/>
    <col min="864" max="864" width="7.21875" bestFit="1" customWidth="1"/>
    <col min="865" max="867" width="8.21875" bestFit="1" customWidth="1"/>
    <col min="868" max="871" width="7.21875" bestFit="1" customWidth="1"/>
    <col min="872" max="872" width="8.21875" bestFit="1" customWidth="1"/>
    <col min="873" max="873" width="7.21875" bestFit="1" customWidth="1"/>
    <col min="874" max="878" width="8.21875" bestFit="1" customWidth="1"/>
    <col min="879" max="879" width="7.21875" bestFit="1" customWidth="1"/>
    <col min="880" max="881" width="8.21875" bestFit="1" customWidth="1"/>
    <col min="882" max="884" width="7.21875" bestFit="1" customWidth="1"/>
    <col min="885" max="885" width="8.21875" bestFit="1" customWidth="1"/>
    <col min="886" max="886" width="7.21875" bestFit="1" customWidth="1"/>
    <col min="887" max="888" width="8.21875" bestFit="1" customWidth="1"/>
    <col min="889" max="889" width="7.21875" bestFit="1" customWidth="1"/>
    <col min="890" max="890" width="8.21875" bestFit="1" customWidth="1"/>
    <col min="891" max="896" width="7.21875" bestFit="1" customWidth="1"/>
    <col min="897" max="899" width="8.21875" bestFit="1" customWidth="1"/>
    <col min="900" max="900" width="7.21875" bestFit="1" customWidth="1"/>
    <col min="901" max="901" width="8.21875" bestFit="1" customWidth="1"/>
    <col min="902" max="903" width="7.21875" bestFit="1" customWidth="1"/>
    <col min="904" max="905" width="8.21875" bestFit="1" customWidth="1"/>
    <col min="906" max="906" width="7.21875" bestFit="1" customWidth="1"/>
    <col min="907" max="907" width="8.21875" bestFit="1" customWidth="1"/>
    <col min="908" max="908" width="7.21875" bestFit="1" customWidth="1"/>
    <col min="909" max="910" width="8.21875" bestFit="1" customWidth="1"/>
    <col min="911" max="911" width="7.21875" bestFit="1" customWidth="1"/>
    <col min="912" max="914" width="8.21875" bestFit="1" customWidth="1"/>
    <col min="915" max="915" width="7.21875" bestFit="1" customWidth="1"/>
    <col min="916" max="916" width="8.21875" bestFit="1" customWidth="1"/>
    <col min="917" max="917" width="7.21875" bestFit="1" customWidth="1"/>
    <col min="918" max="918" width="8.21875" bestFit="1" customWidth="1"/>
    <col min="919" max="920" width="7.21875" bestFit="1" customWidth="1"/>
    <col min="921" max="921" width="8.21875" bestFit="1" customWidth="1"/>
    <col min="922" max="923" width="7.21875" bestFit="1" customWidth="1"/>
    <col min="924" max="925" width="8.21875" bestFit="1" customWidth="1"/>
    <col min="926" max="929" width="7.21875" bestFit="1" customWidth="1"/>
    <col min="930" max="931" width="8.21875" bestFit="1" customWidth="1"/>
    <col min="932" max="932" width="7.21875" bestFit="1" customWidth="1"/>
    <col min="933" max="934" width="8.21875" bestFit="1" customWidth="1"/>
    <col min="935" max="935" width="7.21875" bestFit="1" customWidth="1"/>
    <col min="936" max="938" width="8.21875" bestFit="1" customWidth="1"/>
    <col min="939" max="941" width="7.21875" bestFit="1" customWidth="1"/>
    <col min="942" max="943" width="8.21875" bestFit="1" customWidth="1"/>
    <col min="944" max="944" width="7.21875" bestFit="1" customWidth="1"/>
    <col min="945" max="947" width="8.21875" bestFit="1" customWidth="1"/>
    <col min="948" max="948" width="7.21875" bestFit="1" customWidth="1"/>
    <col min="949" max="950" width="8.21875" bestFit="1" customWidth="1"/>
    <col min="951" max="951" width="7.21875" bestFit="1" customWidth="1"/>
    <col min="952" max="953" width="8.21875" bestFit="1" customWidth="1"/>
    <col min="954" max="957" width="7.21875" bestFit="1" customWidth="1"/>
    <col min="958" max="958" width="8.21875" bestFit="1" customWidth="1"/>
    <col min="959" max="959" width="7.21875" bestFit="1" customWidth="1"/>
    <col min="960" max="962" width="8.21875" bestFit="1" customWidth="1"/>
    <col min="963" max="963" width="7.21875" bestFit="1" customWidth="1"/>
    <col min="964" max="964" width="8.21875" bestFit="1" customWidth="1"/>
    <col min="965" max="966" width="7.21875" bestFit="1" customWidth="1"/>
    <col min="967" max="967" width="8.21875" bestFit="1" customWidth="1"/>
    <col min="968" max="969" width="7.21875" bestFit="1" customWidth="1"/>
    <col min="970" max="970" width="8.21875" bestFit="1" customWidth="1"/>
    <col min="971" max="971" width="7.21875" bestFit="1" customWidth="1"/>
    <col min="972" max="972" width="8.21875" bestFit="1" customWidth="1"/>
    <col min="973" max="974" width="7.21875" bestFit="1" customWidth="1"/>
    <col min="975" max="979" width="8.21875" bestFit="1" customWidth="1"/>
    <col min="980" max="984" width="7.21875" bestFit="1" customWidth="1"/>
    <col min="985" max="985" width="8.21875" bestFit="1" customWidth="1"/>
    <col min="986" max="988" width="7.21875" bestFit="1" customWidth="1"/>
    <col min="989" max="990" width="8.21875" bestFit="1" customWidth="1"/>
    <col min="991" max="991" width="7.21875" bestFit="1" customWidth="1"/>
    <col min="992" max="994" width="8.21875" bestFit="1" customWidth="1"/>
    <col min="995" max="995" width="7.21875" bestFit="1" customWidth="1"/>
    <col min="996" max="996" width="8.21875" bestFit="1" customWidth="1"/>
    <col min="997" max="997" width="7.21875" bestFit="1" customWidth="1"/>
    <col min="998" max="998" width="8.21875" bestFit="1" customWidth="1"/>
    <col min="999" max="999" width="7.21875" bestFit="1" customWidth="1"/>
    <col min="1000" max="1000" width="26.88671875" bestFit="1" customWidth="1"/>
    <col min="1001" max="1001" width="25.33203125" bestFit="1" customWidth="1"/>
  </cols>
  <sheetData>
    <row r="1" spans="1:6" x14ac:dyDescent="0.3">
      <c r="A1" t="s">
        <v>548</v>
      </c>
      <c r="B1" t="s">
        <v>549</v>
      </c>
    </row>
    <row r="3" spans="1:6" ht="18" x14ac:dyDescent="0.3">
      <c r="A3" t="s">
        <v>542</v>
      </c>
      <c r="B3" t="s">
        <v>545</v>
      </c>
      <c r="C3" t="s">
        <v>546</v>
      </c>
      <c r="E3" s="2" t="s">
        <v>536</v>
      </c>
    </row>
    <row r="4" spans="1:6" x14ac:dyDescent="0.3">
      <c r="A4" s="6">
        <v>500</v>
      </c>
      <c r="B4" s="6">
        <v>284594</v>
      </c>
      <c r="C4" s="6">
        <v>526988683</v>
      </c>
      <c r="E4" s="3"/>
    </row>
    <row r="5" spans="1:6" x14ac:dyDescent="0.3">
      <c r="E5" s="3" t="s">
        <v>537</v>
      </c>
      <c r="F5">
        <v>500</v>
      </c>
    </row>
    <row r="6" spans="1:6" x14ac:dyDescent="0.3">
      <c r="E6" s="3"/>
    </row>
    <row r="7" spans="1:6" x14ac:dyDescent="0.3">
      <c r="A7" s="4" t="s">
        <v>543</v>
      </c>
      <c r="B7" t="s">
        <v>542</v>
      </c>
      <c r="E7" s="3" t="s">
        <v>538</v>
      </c>
      <c r="F7">
        <f>(B15/B19)*100</f>
        <v>56.8</v>
      </c>
    </row>
    <row r="8" spans="1:6" x14ac:dyDescent="0.3">
      <c r="A8" s="5" t="s">
        <v>21</v>
      </c>
      <c r="B8" s="6">
        <v>237</v>
      </c>
      <c r="E8" s="3"/>
    </row>
    <row r="9" spans="1:6" x14ac:dyDescent="0.3">
      <c r="A9" s="5" t="s">
        <v>7</v>
      </c>
      <c r="B9" s="6">
        <v>263</v>
      </c>
      <c r="E9" s="3" t="s">
        <v>539</v>
      </c>
      <c r="F9">
        <f>(B16/B19)*100</f>
        <v>17.2</v>
      </c>
    </row>
    <row r="10" spans="1:6" x14ac:dyDescent="0.3">
      <c r="A10" s="5" t="s">
        <v>553</v>
      </c>
      <c r="B10" s="6"/>
      <c r="E10" s="3"/>
    </row>
    <row r="11" spans="1:6" x14ac:dyDescent="0.3">
      <c r="A11" s="5" t="s">
        <v>544</v>
      </c>
      <c r="B11" s="6">
        <v>500</v>
      </c>
      <c r="E11" s="3" t="s">
        <v>540</v>
      </c>
      <c r="F11">
        <f>C4/B11</f>
        <v>1053977.3659999999</v>
      </c>
    </row>
    <row r="12" spans="1:6" x14ac:dyDescent="0.3">
      <c r="E12" s="3"/>
    </row>
    <row r="13" spans="1:6" x14ac:dyDescent="0.3">
      <c r="E13" s="3" t="s">
        <v>541</v>
      </c>
      <c r="F13">
        <f>B4/B11</f>
        <v>569.18799999999999</v>
      </c>
    </row>
    <row r="14" spans="1:6" x14ac:dyDescent="0.3">
      <c r="A14" s="4" t="s">
        <v>543</v>
      </c>
      <c r="B14" t="s">
        <v>542</v>
      </c>
    </row>
    <row r="15" spans="1:6" x14ac:dyDescent="0.3">
      <c r="A15" s="5" t="s">
        <v>12</v>
      </c>
      <c r="B15" s="6">
        <v>284</v>
      </c>
    </row>
    <row r="16" spans="1:6" x14ac:dyDescent="0.3">
      <c r="A16" s="5" t="s">
        <v>29</v>
      </c>
      <c r="B16" s="6">
        <v>86</v>
      </c>
    </row>
    <row r="17" spans="1:2" x14ac:dyDescent="0.3">
      <c r="A17" s="5" t="s">
        <v>43</v>
      </c>
      <c r="B17" s="6">
        <v>130</v>
      </c>
    </row>
    <row r="18" spans="1:2" x14ac:dyDescent="0.3">
      <c r="A18" s="5" t="s">
        <v>553</v>
      </c>
      <c r="B18" s="6"/>
    </row>
    <row r="19" spans="1:2" x14ac:dyDescent="0.3">
      <c r="A19" s="5" t="s">
        <v>544</v>
      </c>
      <c r="B19" s="6">
        <v>500</v>
      </c>
    </row>
    <row r="21" spans="1:2" x14ac:dyDescent="0.3">
      <c r="A21" s="4" t="s">
        <v>543</v>
      </c>
      <c r="B21" t="s">
        <v>547</v>
      </c>
    </row>
    <row r="22" spans="1:2" x14ac:dyDescent="0.3">
      <c r="A22" s="5" t="s">
        <v>6</v>
      </c>
      <c r="B22" s="6">
        <v>32</v>
      </c>
    </row>
    <row r="23" spans="1:2" x14ac:dyDescent="0.3">
      <c r="A23" s="5" t="s">
        <v>31</v>
      </c>
      <c r="B23" s="6">
        <v>40</v>
      </c>
    </row>
    <row r="24" spans="1:2" x14ac:dyDescent="0.3">
      <c r="A24" s="5" t="s">
        <v>34</v>
      </c>
      <c r="B24" s="6">
        <v>14</v>
      </c>
    </row>
    <row r="25" spans="1:2" x14ac:dyDescent="0.3">
      <c r="A25" s="5" t="s">
        <v>544</v>
      </c>
      <c r="B25" s="6">
        <v>86</v>
      </c>
    </row>
    <row r="28" spans="1:2" x14ac:dyDescent="0.3">
      <c r="A28" s="4" t="s">
        <v>543</v>
      </c>
      <c r="B28" t="s">
        <v>547</v>
      </c>
    </row>
    <row r="29" spans="1:2" x14ac:dyDescent="0.3">
      <c r="A29" s="5" t="s">
        <v>16</v>
      </c>
      <c r="B29" s="6">
        <v>23</v>
      </c>
    </row>
    <row r="30" spans="1:2" x14ac:dyDescent="0.3">
      <c r="A30" s="5" t="s">
        <v>40</v>
      </c>
      <c r="B30" s="6">
        <v>19</v>
      </c>
    </row>
    <row r="31" spans="1:2" x14ac:dyDescent="0.3">
      <c r="A31" s="5" t="s">
        <v>9</v>
      </c>
      <c r="B31" s="6">
        <v>44</v>
      </c>
    </row>
    <row r="32" spans="1:2" x14ac:dyDescent="0.3">
      <c r="A32" s="5" t="s">
        <v>544</v>
      </c>
      <c r="B32" s="6">
        <v>86</v>
      </c>
    </row>
    <row r="35" spans="1:8" x14ac:dyDescent="0.3">
      <c r="A35" s="4" t="s">
        <v>543</v>
      </c>
      <c r="B35" t="s">
        <v>546</v>
      </c>
    </row>
    <row r="36" spans="1:8" x14ac:dyDescent="0.3">
      <c r="A36" s="5" t="s">
        <v>22</v>
      </c>
      <c r="B36" s="6">
        <v>128659575</v>
      </c>
    </row>
    <row r="37" spans="1:8" x14ac:dyDescent="0.3">
      <c r="A37" s="5" t="s">
        <v>11</v>
      </c>
      <c r="B37" s="6">
        <v>130501115</v>
      </c>
    </row>
    <row r="38" spans="1:8" x14ac:dyDescent="0.3">
      <c r="A38" s="5" t="s">
        <v>18</v>
      </c>
      <c r="B38" s="6">
        <v>125839032</v>
      </c>
    </row>
    <row r="39" spans="1:8" x14ac:dyDescent="0.3">
      <c r="A39" s="5" t="s">
        <v>28</v>
      </c>
      <c r="B39" s="6">
        <v>141988961</v>
      </c>
    </row>
    <row r="40" spans="1:8" x14ac:dyDescent="0.3">
      <c r="A40" s="5" t="s">
        <v>553</v>
      </c>
      <c r="B40" s="6"/>
    </row>
    <row r="41" spans="1:8" x14ac:dyDescent="0.3">
      <c r="A41" s="5" t="s">
        <v>544</v>
      </c>
      <c r="B41" s="6">
        <v>526988683</v>
      </c>
    </row>
    <row r="44" spans="1:8" x14ac:dyDescent="0.3">
      <c r="A44" s="4" t="s">
        <v>3</v>
      </c>
      <c r="B44" t="s">
        <v>551</v>
      </c>
    </row>
    <row r="46" spans="1:8" x14ac:dyDescent="0.3">
      <c r="A46" s="4" t="s">
        <v>542</v>
      </c>
      <c r="B46" s="4" t="s">
        <v>550</v>
      </c>
    </row>
    <row r="47" spans="1:8" x14ac:dyDescent="0.3">
      <c r="A47" s="4" t="s">
        <v>543</v>
      </c>
      <c r="B47" t="s">
        <v>8</v>
      </c>
      <c r="C47" t="s">
        <v>17</v>
      </c>
      <c r="D47" t="s">
        <v>10</v>
      </c>
      <c r="E47" t="s">
        <v>42</v>
      </c>
      <c r="F47" t="s">
        <v>27</v>
      </c>
      <c r="G47" t="s">
        <v>553</v>
      </c>
      <c r="H47" t="s">
        <v>544</v>
      </c>
    </row>
    <row r="48" spans="1:8" x14ac:dyDescent="0.3">
      <c r="A48" s="5" t="s">
        <v>8</v>
      </c>
      <c r="B48" s="6">
        <v>34</v>
      </c>
      <c r="C48" s="6">
        <v>31</v>
      </c>
      <c r="D48" s="6">
        <v>31</v>
      </c>
      <c r="E48" s="6">
        <v>28</v>
      </c>
      <c r="F48" s="6">
        <v>42</v>
      </c>
      <c r="G48" s="6"/>
      <c r="H48" s="6">
        <v>166</v>
      </c>
    </row>
    <row r="49" spans="1:8" x14ac:dyDescent="0.3">
      <c r="A49" s="5" t="s">
        <v>25</v>
      </c>
      <c r="B49" s="6">
        <v>34</v>
      </c>
      <c r="C49" s="6">
        <v>36</v>
      </c>
      <c r="D49" s="6">
        <v>23</v>
      </c>
      <c r="E49" s="6">
        <v>39</v>
      </c>
      <c r="F49" s="6">
        <v>29</v>
      </c>
      <c r="G49" s="6"/>
      <c r="H49" s="6">
        <v>161</v>
      </c>
    </row>
    <row r="50" spans="1:8" x14ac:dyDescent="0.3">
      <c r="A50" s="5" t="s">
        <v>15</v>
      </c>
      <c r="B50" s="6">
        <v>33</v>
      </c>
      <c r="C50" s="6">
        <v>38</v>
      </c>
      <c r="D50" s="6">
        <v>39</v>
      </c>
      <c r="E50" s="6">
        <v>37</v>
      </c>
      <c r="F50" s="6">
        <v>26</v>
      </c>
      <c r="G50" s="6"/>
      <c r="H50" s="6">
        <v>173</v>
      </c>
    </row>
    <row r="51" spans="1:8" x14ac:dyDescent="0.3">
      <c r="A51" s="5" t="s">
        <v>553</v>
      </c>
      <c r="B51" s="6"/>
      <c r="C51" s="6"/>
      <c r="D51" s="6"/>
      <c r="E51" s="6"/>
      <c r="F51" s="6"/>
      <c r="G51" s="6"/>
      <c r="H51" s="6"/>
    </row>
    <row r="52" spans="1:8" x14ac:dyDescent="0.3">
      <c r="A52" s="5" t="s">
        <v>544</v>
      </c>
      <c r="B52" s="6">
        <v>101</v>
      </c>
      <c r="C52" s="6">
        <v>105</v>
      </c>
      <c r="D52" s="6">
        <v>93</v>
      </c>
      <c r="E52" s="6">
        <v>104</v>
      </c>
      <c r="F52" s="6">
        <v>97</v>
      </c>
      <c r="G52" s="6"/>
      <c r="H52" s="6">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E5323-8B1C-4F69-ACC8-FA9B77662FF7}">
  <dimension ref="A1"/>
  <sheetViews>
    <sheetView showGridLines="0" tabSelected="1" zoomScale="85" zoomScaleNormal="85" workbookViewId="0">
      <selection activeCell="T17" sqref="T1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87F1D-6EF0-403C-B1B3-1A2E711CF3FE}">
  <dimension ref="A1:T501"/>
  <sheetViews>
    <sheetView topLeftCell="C1" zoomScale="85" zoomScaleNormal="85" workbookViewId="0">
      <selection activeCell="J29" sqref="J29"/>
    </sheetView>
  </sheetViews>
  <sheetFormatPr defaultRowHeight="14.4" x14ac:dyDescent="0.3"/>
  <cols>
    <col min="1" max="1" width="10.109375" style="1" customWidth="1"/>
    <col min="2" max="2" width="17.6640625" style="1" customWidth="1"/>
    <col min="3" max="3" width="15.77734375" style="1" customWidth="1"/>
    <col min="4" max="4" width="12.88671875" style="1" customWidth="1"/>
    <col min="5" max="6" width="9.44140625" style="1" customWidth="1"/>
    <col min="7" max="7" width="20.109375" style="1" customWidth="1"/>
    <col min="8" max="8" width="14.21875" style="1" customWidth="1"/>
    <col min="9" max="9" width="21.44140625" style="1" customWidth="1"/>
    <col min="10" max="10" width="15.5546875" style="1" customWidth="1"/>
    <col min="11" max="11" width="19.88671875" style="1" customWidth="1"/>
    <col min="12" max="12" width="14.88671875" style="1" customWidth="1"/>
    <col min="13" max="13" width="8" style="1" bestFit="1" customWidth="1"/>
    <col min="14" max="14" width="15.5546875" style="1" customWidth="1"/>
    <col min="15" max="15" width="9" style="1" customWidth="1"/>
    <col min="16" max="16" width="18.44140625" style="1" customWidth="1"/>
    <col min="17" max="17" width="13.88671875" style="1" customWidth="1"/>
    <col min="18" max="18" width="14" style="1" customWidth="1"/>
    <col min="19" max="16384" width="8.88671875" style="1"/>
  </cols>
  <sheetData>
    <row r="1" spans="1:20" s="18" customFormat="1" x14ac:dyDescent="0.3">
      <c r="A1" s="15" t="s">
        <v>554</v>
      </c>
      <c r="B1" s="16" t="s">
        <v>555</v>
      </c>
      <c r="C1" s="16" t="s">
        <v>556</v>
      </c>
      <c r="D1" s="16" t="s">
        <v>557</v>
      </c>
      <c r="E1" s="16" t="s">
        <v>0</v>
      </c>
      <c r="F1" s="16" t="s">
        <v>1</v>
      </c>
      <c r="G1" s="16" t="s">
        <v>558</v>
      </c>
      <c r="H1" s="16" t="s">
        <v>559</v>
      </c>
      <c r="I1" s="16" t="s">
        <v>560</v>
      </c>
      <c r="J1" s="16" t="s">
        <v>561</v>
      </c>
      <c r="K1" s="16" t="s">
        <v>562</v>
      </c>
      <c r="L1" s="16" t="s">
        <v>563</v>
      </c>
      <c r="M1" s="16" t="s">
        <v>2</v>
      </c>
      <c r="N1" s="16" t="s">
        <v>564</v>
      </c>
      <c r="O1" s="16" t="s">
        <v>3</v>
      </c>
      <c r="P1" s="16" t="s">
        <v>565</v>
      </c>
      <c r="Q1" s="16" t="s">
        <v>566</v>
      </c>
      <c r="R1" s="17" t="s">
        <v>567</v>
      </c>
    </row>
    <row r="2" spans="1:20" x14ac:dyDescent="0.3">
      <c r="A2" s="7" t="s">
        <v>4</v>
      </c>
      <c r="B2" s="8" t="s">
        <v>5</v>
      </c>
      <c r="C2" s="8">
        <v>35</v>
      </c>
      <c r="D2" s="8" t="s">
        <v>6</v>
      </c>
      <c r="E2" s="8" t="s">
        <v>7</v>
      </c>
      <c r="F2" s="8">
        <v>39476</v>
      </c>
      <c r="G2" s="8" t="s">
        <v>8</v>
      </c>
      <c r="H2" s="8">
        <v>437</v>
      </c>
      <c r="I2" s="8" t="s">
        <v>9</v>
      </c>
      <c r="J2" s="8">
        <v>1152688</v>
      </c>
      <c r="K2" s="8">
        <v>20</v>
      </c>
      <c r="L2" s="8">
        <v>10.23</v>
      </c>
      <c r="M2" s="8">
        <v>491.33</v>
      </c>
      <c r="N2" s="8" t="s">
        <v>10</v>
      </c>
      <c r="O2" s="8" t="s">
        <v>11</v>
      </c>
      <c r="P2" s="9">
        <v>45060</v>
      </c>
      <c r="Q2" s="8" t="s">
        <v>12</v>
      </c>
      <c r="R2" s="10">
        <v>0</v>
      </c>
    </row>
    <row r="3" spans="1:20" x14ac:dyDescent="0.3">
      <c r="A3" s="7" t="s">
        <v>13</v>
      </c>
      <c r="B3" s="8" t="s">
        <v>14</v>
      </c>
      <c r="C3" s="8">
        <v>32</v>
      </c>
      <c r="D3" s="8" t="s">
        <v>6</v>
      </c>
      <c r="E3" s="8" t="s">
        <v>7</v>
      </c>
      <c r="F3" s="8">
        <v>26413</v>
      </c>
      <c r="G3" s="8" t="s">
        <v>15</v>
      </c>
      <c r="H3" s="8">
        <v>666</v>
      </c>
      <c r="I3" s="8" t="s">
        <v>16</v>
      </c>
      <c r="J3" s="8">
        <v>1343831</v>
      </c>
      <c r="K3" s="8">
        <v>10</v>
      </c>
      <c r="L3" s="8">
        <v>10.67</v>
      </c>
      <c r="M3" s="8">
        <v>1194.8900000000001</v>
      </c>
      <c r="N3" s="8" t="s">
        <v>17</v>
      </c>
      <c r="O3" s="8" t="s">
        <v>18</v>
      </c>
      <c r="P3" s="9">
        <v>45310</v>
      </c>
      <c r="Q3" s="8" t="s">
        <v>12</v>
      </c>
      <c r="R3" s="10">
        <v>0</v>
      </c>
    </row>
    <row r="4" spans="1:20" x14ac:dyDescent="0.3">
      <c r="A4" s="7" t="s">
        <v>19</v>
      </c>
      <c r="B4" s="8" t="s">
        <v>20</v>
      </c>
      <c r="C4" s="8">
        <v>41</v>
      </c>
      <c r="D4" s="8" t="s">
        <v>6</v>
      </c>
      <c r="E4" s="8" t="s">
        <v>21</v>
      </c>
      <c r="F4" s="8">
        <v>28346</v>
      </c>
      <c r="G4" s="8" t="s">
        <v>15</v>
      </c>
      <c r="H4" s="8">
        <v>697</v>
      </c>
      <c r="I4" s="8" t="s">
        <v>16</v>
      </c>
      <c r="J4" s="8">
        <v>1906273</v>
      </c>
      <c r="K4" s="8">
        <v>5</v>
      </c>
      <c r="L4" s="8">
        <v>7.72</v>
      </c>
      <c r="M4" s="8">
        <v>2452.7399999999998</v>
      </c>
      <c r="N4" s="8" t="s">
        <v>10</v>
      </c>
      <c r="O4" s="8" t="s">
        <v>22</v>
      </c>
      <c r="P4" s="9">
        <v>45016</v>
      </c>
      <c r="Q4" s="8" t="s">
        <v>12</v>
      </c>
      <c r="R4" s="10">
        <v>0</v>
      </c>
    </row>
    <row r="5" spans="1:20" x14ac:dyDescent="0.3">
      <c r="A5" s="7" t="s">
        <v>23</v>
      </c>
      <c r="B5" s="8" t="s">
        <v>24</v>
      </c>
      <c r="C5" s="8">
        <v>41</v>
      </c>
      <c r="D5" s="8" t="s">
        <v>6</v>
      </c>
      <c r="E5" s="8" t="s">
        <v>7</v>
      </c>
      <c r="F5" s="8">
        <v>131926</v>
      </c>
      <c r="G5" s="8" t="s">
        <v>25</v>
      </c>
      <c r="H5" s="8">
        <v>319</v>
      </c>
      <c r="I5" s="8" t="s">
        <v>9</v>
      </c>
      <c r="J5" s="8">
        <v>1891306</v>
      </c>
      <c r="K5" s="8">
        <v>15</v>
      </c>
      <c r="L5" s="8">
        <v>12.07</v>
      </c>
      <c r="M5" s="8">
        <v>1268.23</v>
      </c>
      <c r="N5" s="8" t="s">
        <v>17</v>
      </c>
      <c r="O5" s="8" t="s">
        <v>22</v>
      </c>
      <c r="P5" s="9">
        <v>45129</v>
      </c>
      <c r="Q5" s="8" t="s">
        <v>12</v>
      </c>
      <c r="R5" s="10">
        <v>0</v>
      </c>
    </row>
    <row r="6" spans="1:20" x14ac:dyDescent="0.3">
      <c r="A6" s="7" t="s">
        <v>26</v>
      </c>
      <c r="B6" s="8" t="s">
        <v>20</v>
      </c>
      <c r="C6" s="8">
        <v>37</v>
      </c>
      <c r="D6" s="8" t="s">
        <v>6</v>
      </c>
      <c r="E6" s="8" t="s">
        <v>21</v>
      </c>
      <c r="F6" s="8">
        <v>117798</v>
      </c>
      <c r="G6" s="8" t="s">
        <v>25</v>
      </c>
      <c r="H6" s="8">
        <v>670</v>
      </c>
      <c r="I6" s="8" t="s">
        <v>16</v>
      </c>
      <c r="J6" s="8">
        <v>1683861</v>
      </c>
      <c r="K6" s="8">
        <v>15</v>
      </c>
      <c r="L6" s="8">
        <v>12.99</v>
      </c>
      <c r="M6" s="8">
        <v>1215.19</v>
      </c>
      <c r="N6" s="8" t="s">
        <v>27</v>
      </c>
      <c r="O6" s="8" t="s">
        <v>28</v>
      </c>
      <c r="P6" s="9">
        <v>44895</v>
      </c>
      <c r="Q6" s="8" t="s">
        <v>29</v>
      </c>
      <c r="R6" s="10">
        <v>1</v>
      </c>
    </row>
    <row r="7" spans="1:20" x14ac:dyDescent="0.3">
      <c r="A7" s="7" t="s">
        <v>30</v>
      </c>
      <c r="B7" s="8" t="s">
        <v>5</v>
      </c>
      <c r="C7" s="8">
        <v>64</v>
      </c>
      <c r="D7" s="8" t="s">
        <v>31</v>
      </c>
      <c r="E7" s="8" t="s">
        <v>7</v>
      </c>
      <c r="F7" s="8">
        <v>115358</v>
      </c>
      <c r="G7" s="8" t="s">
        <v>15</v>
      </c>
      <c r="H7" s="8">
        <v>647</v>
      </c>
      <c r="I7" s="8" t="s">
        <v>16</v>
      </c>
      <c r="J7" s="8">
        <v>837690</v>
      </c>
      <c r="K7" s="8">
        <v>15</v>
      </c>
      <c r="L7" s="8">
        <v>11.7</v>
      </c>
      <c r="M7" s="8">
        <v>544.5</v>
      </c>
      <c r="N7" s="8" t="s">
        <v>10</v>
      </c>
      <c r="O7" s="8" t="s">
        <v>18</v>
      </c>
      <c r="P7" s="9">
        <v>45045</v>
      </c>
      <c r="Q7" s="8" t="s">
        <v>12</v>
      </c>
      <c r="R7" s="10">
        <v>0</v>
      </c>
      <c r="T7" s="1" t="s">
        <v>552</v>
      </c>
    </row>
    <row r="8" spans="1:20" x14ac:dyDescent="0.3">
      <c r="A8" s="7" t="s">
        <v>32</v>
      </c>
      <c r="B8" s="8" t="s">
        <v>33</v>
      </c>
      <c r="C8" s="8">
        <v>25</v>
      </c>
      <c r="D8" s="8" t="s">
        <v>34</v>
      </c>
      <c r="E8" s="8" t="s">
        <v>21</v>
      </c>
      <c r="F8" s="8">
        <v>22914</v>
      </c>
      <c r="G8" s="8" t="s">
        <v>25</v>
      </c>
      <c r="H8" s="8">
        <v>533</v>
      </c>
      <c r="I8" s="8" t="s">
        <v>9</v>
      </c>
      <c r="J8" s="8">
        <v>678185</v>
      </c>
      <c r="K8" s="8">
        <v>5</v>
      </c>
      <c r="L8" s="8">
        <v>11.32</v>
      </c>
      <c r="M8" s="8">
        <v>1279.51</v>
      </c>
      <c r="N8" s="8" t="s">
        <v>10</v>
      </c>
      <c r="O8" s="8" t="s">
        <v>18</v>
      </c>
      <c r="P8" s="9">
        <v>45432</v>
      </c>
      <c r="Q8" s="8" t="s">
        <v>12</v>
      </c>
      <c r="R8" s="10">
        <v>0</v>
      </c>
    </row>
    <row r="9" spans="1:20" x14ac:dyDescent="0.3">
      <c r="A9" s="7" t="s">
        <v>35</v>
      </c>
      <c r="B9" s="8" t="s">
        <v>36</v>
      </c>
      <c r="C9" s="8">
        <v>29</v>
      </c>
      <c r="D9" s="8" t="s">
        <v>34</v>
      </c>
      <c r="E9" s="8" t="s">
        <v>7</v>
      </c>
      <c r="F9" s="8">
        <v>69652</v>
      </c>
      <c r="G9" s="8" t="s">
        <v>8</v>
      </c>
      <c r="H9" s="8">
        <v>676</v>
      </c>
      <c r="I9" s="8" t="s">
        <v>16</v>
      </c>
      <c r="J9" s="8">
        <v>1352121</v>
      </c>
      <c r="K9" s="8">
        <v>5</v>
      </c>
      <c r="L9" s="8">
        <v>11.57</v>
      </c>
      <c r="M9" s="8">
        <v>2607.34</v>
      </c>
      <c r="N9" s="8" t="s">
        <v>27</v>
      </c>
      <c r="O9" s="8" t="s">
        <v>28</v>
      </c>
      <c r="P9" s="9">
        <v>45079</v>
      </c>
      <c r="Q9" s="8" t="s">
        <v>12</v>
      </c>
      <c r="R9" s="10">
        <v>0</v>
      </c>
    </row>
    <row r="10" spans="1:20" x14ac:dyDescent="0.3">
      <c r="A10" s="7" t="s">
        <v>37</v>
      </c>
      <c r="B10" s="8" t="s">
        <v>14</v>
      </c>
      <c r="C10" s="8">
        <v>25</v>
      </c>
      <c r="D10" s="8" t="s">
        <v>34</v>
      </c>
      <c r="E10" s="8" t="s">
        <v>21</v>
      </c>
      <c r="F10" s="8">
        <v>20957</v>
      </c>
      <c r="G10" s="8" t="s">
        <v>8</v>
      </c>
      <c r="H10" s="8">
        <v>539</v>
      </c>
      <c r="I10" s="8" t="s">
        <v>9</v>
      </c>
      <c r="J10" s="8">
        <v>1284438</v>
      </c>
      <c r="K10" s="8">
        <v>15</v>
      </c>
      <c r="L10" s="8">
        <v>13.88</v>
      </c>
      <c r="M10" s="8">
        <v>990.44</v>
      </c>
      <c r="N10" s="8" t="s">
        <v>10</v>
      </c>
      <c r="O10" s="8" t="s">
        <v>11</v>
      </c>
      <c r="P10" s="9">
        <v>44854</v>
      </c>
      <c r="Q10" s="8" t="s">
        <v>12</v>
      </c>
      <c r="R10" s="10">
        <v>0</v>
      </c>
    </row>
    <row r="11" spans="1:20" x14ac:dyDescent="0.3">
      <c r="A11" s="7" t="s">
        <v>38</v>
      </c>
      <c r="B11" s="8" t="s">
        <v>39</v>
      </c>
      <c r="C11" s="8">
        <v>28</v>
      </c>
      <c r="D11" s="8" t="s">
        <v>34</v>
      </c>
      <c r="E11" s="8" t="s">
        <v>21</v>
      </c>
      <c r="F11" s="8">
        <v>148053</v>
      </c>
      <c r="G11" s="8" t="s">
        <v>8</v>
      </c>
      <c r="H11" s="8">
        <v>825</v>
      </c>
      <c r="I11" s="8" t="s">
        <v>40</v>
      </c>
      <c r="J11" s="8">
        <v>994439</v>
      </c>
      <c r="K11" s="8">
        <v>10</v>
      </c>
      <c r="L11" s="8">
        <v>14.72</v>
      </c>
      <c r="M11" s="8">
        <v>1219.8499999999999</v>
      </c>
      <c r="N11" s="8" t="s">
        <v>17</v>
      </c>
      <c r="O11" s="8" t="s">
        <v>11</v>
      </c>
      <c r="P11" s="9">
        <v>45394</v>
      </c>
      <c r="Q11" s="8" t="s">
        <v>12</v>
      </c>
      <c r="R11" s="10">
        <v>0</v>
      </c>
    </row>
    <row r="12" spans="1:20" x14ac:dyDescent="0.3">
      <c r="A12" s="7" t="s">
        <v>41</v>
      </c>
      <c r="B12" s="8" t="s">
        <v>36</v>
      </c>
      <c r="C12" s="8">
        <v>37</v>
      </c>
      <c r="D12" s="8" t="s">
        <v>6</v>
      </c>
      <c r="E12" s="8" t="s">
        <v>21</v>
      </c>
      <c r="F12" s="8">
        <v>65784</v>
      </c>
      <c r="G12" s="8" t="s">
        <v>25</v>
      </c>
      <c r="H12" s="8">
        <v>348</v>
      </c>
      <c r="I12" s="8" t="s">
        <v>9</v>
      </c>
      <c r="J12" s="8">
        <v>1669736</v>
      </c>
      <c r="K12" s="8">
        <v>10</v>
      </c>
      <c r="L12" s="8">
        <v>10.029999999999999</v>
      </c>
      <c r="M12" s="8">
        <v>1395.62</v>
      </c>
      <c r="N12" s="8" t="s">
        <v>42</v>
      </c>
      <c r="O12" s="8" t="s">
        <v>22</v>
      </c>
      <c r="P12" s="9">
        <v>44889</v>
      </c>
      <c r="Q12" s="8" t="s">
        <v>43</v>
      </c>
      <c r="R12" s="10">
        <v>0</v>
      </c>
    </row>
    <row r="13" spans="1:20" x14ac:dyDescent="0.3">
      <c r="A13" s="7" t="s">
        <v>44</v>
      </c>
      <c r="B13" s="8" t="s">
        <v>45</v>
      </c>
      <c r="C13" s="8">
        <v>55</v>
      </c>
      <c r="D13" s="8" t="s">
        <v>31</v>
      </c>
      <c r="E13" s="8" t="s">
        <v>7</v>
      </c>
      <c r="F13" s="8">
        <v>68930</v>
      </c>
      <c r="G13" s="8" t="s">
        <v>25</v>
      </c>
      <c r="H13" s="8">
        <v>355</v>
      </c>
      <c r="I13" s="8" t="s">
        <v>9</v>
      </c>
      <c r="J13" s="8">
        <v>259823</v>
      </c>
      <c r="K13" s="8">
        <v>20</v>
      </c>
      <c r="L13" s="8">
        <v>8.84</v>
      </c>
      <c r="M13" s="8">
        <v>95.7</v>
      </c>
      <c r="N13" s="8" t="s">
        <v>8</v>
      </c>
      <c r="O13" s="8" t="s">
        <v>22</v>
      </c>
      <c r="P13" s="9">
        <v>45010</v>
      </c>
      <c r="Q13" s="8" t="s">
        <v>12</v>
      </c>
      <c r="R13" s="10">
        <v>0</v>
      </c>
    </row>
    <row r="14" spans="1:20" x14ac:dyDescent="0.3">
      <c r="A14" s="7" t="s">
        <v>46</v>
      </c>
      <c r="B14" s="8" t="s">
        <v>47</v>
      </c>
      <c r="C14" s="8">
        <v>41</v>
      </c>
      <c r="D14" s="8" t="s">
        <v>6</v>
      </c>
      <c r="E14" s="8" t="s">
        <v>21</v>
      </c>
      <c r="F14" s="8">
        <v>93383</v>
      </c>
      <c r="G14" s="8" t="s">
        <v>25</v>
      </c>
      <c r="H14" s="8">
        <v>407</v>
      </c>
      <c r="I14" s="8" t="s">
        <v>9</v>
      </c>
      <c r="J14" s="8">
        <v>1793246</v>
      </c>
      <c r="K14" s="8">
        <v>15</v>
      </c>
      <c r="L14" s="8">
        <v>9.2200000000000006</v>
      </c>
      <c r="M14" s="8">
        <v>918.54</v>
      </c>
      <c r="N14" s="8" t="s">
        <v>17</v>
      </c>
      <c r="O14" s="8" t="s">
        <v>11</v>
      </c>
      <c r="P14" s="9">
        <v>45255</v>
      </c>
      <c r="Q14" s="8" t="s">
        <v>29</v>
      </c>
      <c r="R14" s="10">
        <v>1</v>
      </c>
    </row>
    <row r="15" spans="1:20" x14ac:dyDescent="0.3">
      <c r="A15" s="7" t="s">
        <v>48</v>
      </c>
      <c r="B15" s="8" t="s">
        <v>14</v>
      </c>
      <c r="C15" s="8">
        <v>56</v>
      </c>
      <c r="D15" s="8" t="s">
        <v>31</v>
      </c>
      <c r="E15" s="8" t="s">
        <v>7</v>
      </c>
      <c r="F15" s="8">
        <v>101863</v>
      </c>
      <c r="G15" s="8" t="s">
        <v>25</v>
      </c>
      <c r="H15" s="8">
        <v>811</v>
      </c>
      <c r="I15" s="8" t="s">
        <v>40</v>
      </c>
      <c r="J15" s="8">
        <v>897250</v>
      </c>
      <c r="K15" s="8">
        <v>10</v>
      </c>
      <c r="L15" s="8">
        <v>10.44</v>
      </c>
      <c r="M15" s="8">
        <v>780.61</v>
      </c>
      <c r="N15" s="8" t="s">
        <v>27</v>
      </c>
      <c r="O15" s="8" t="s">
        <v>18</v>
      </c>
      <c r="P15" s="9">
        <v>44898</v>
      </c>
      <c r="Q15" s="8" t="s">
        <v>12</v>
      </c>
      <c r="R15" s="10">
        <v>0</v>
      </c>
    </row>
    <row r="16" spans="1:20" x14ac:dyDescent="0.3">
      <c r="A16" s="7" t="s">
        <v>49</v>
      </c>
      <c r="B16" s="8" t="s">
        <v>47</v>
      </c>
      <c r="C16" s="8">
        <v>42</v>
      </c>
      <c r="D16" s="8" t="s">
        <v>6</v>
      </c>
      <c r="E16" s="8" t="s">
        <v>21</v>
      </c>
      <c r="F16" s="8">
        <v>21537</v>
      </c>
      <c r="G16" s="8" t="s">
        <v>15</v>
      </c>
      <c r="H16" s="8">
        <v>639</v>
      </c>
      <c r="I16" s="8" t="s">
        <v>16</v>
      </c>
      <c r="J16" s="8">
        <v>297921</v>
      </c>
      <c r="K16" s="8">
        <v>15</v>
      </c>
      <c r="L16" s="8">
        <v>14.3</v>
      </c>
      <c r="M16" s="8">
        <v>236.68</v>
      </c>
      <c r="N16" s="8" t="s">
        <v>42</v>
      </c>
      <c r="O16" s="8" t="s">
        <v>22</v>
      </c>
      <c r="P16" s="9">
        <v>45336</v>
      </c>
      <c r="Q16" s="8" t="s">
        <v>12</v>
      </c>
      <c r="R16" s="10">
        <v>0</v>
      </c>
    </row>
    <row r="17" spans="1:18" x14ac:dyDescent="0.3">
      <c r="A17" s="7" t="s">
        <v>50</v>
      </c>
      <c r="B17" s="8" t="s">
        <v>33</v>
      </c>
      <c r="C17" s="8">
        <v>65</v>
      </c>
      <c r="D17" s="8" t="s">
        <v>31</v>
      </c>
      <c r="E17" s="8" t="s">
        <v>7</v>
      </c>
      <c r="F17" s="8">
        <v>127294</v>
      </c>
      <c r="G17" s="8" t="s">
        <v>25</v>
      </c>
      <c r="H17" s="8">
        <v>702</v>
      </c>
      <c r="I17" s="8" t="s">
        <v>40</v>
      </c>
      <c r="J17" s="8">
        <v>747825</v>
      </c>
      <c r="K17" s="8">
        <v>10</v>
      </c>
      <c r="L17" s="8">
        <v>14.49</v>
      </c>
      <c r="M17" s="8">
        <v>903</v>
      </c>
      <c r="N17" s="8" t="s">
        <v>17</v>
      </c>
      <c r="O17" s="8" t="s">
        <v>22</v>
      </c>
      <c r="P17" s="9">
        <v>44832</v>
      </c>
      <c r="Q17" s="8" t="s">
        <v>12</v>
      </c>
      <c r="R17" s="10">
        <v>0</v>
      </c>
    </row>
    <row r="18" spans="1:18" x14ac:dyDescent="0.3">
      <c r="A18" s="7" t="s">
        <v>51</v>
      </c>
      <c r="B18" s="8" t="s">
        <v>52</v>
      </c>
      <c r="C18" s="8">
        <v>64</v>
      </c>
      <c r="D18" s="8" t="s">
        <v>31</v>
      </c>
      <c r="E18" s="8" t="s">
        <v>7</v>
      </c>
      <c r="F18" s="8">
        <v>76772</v>
      </c>
      <c r="G18" s="8" t="s">
        <v>25</v>
      </c>
      <c r="H18" s="8">
        <v>744</v>
      </c>
      <c r="I18" s="8" t="s">
        <v>40</v>
      </c>
      <c r="J18" s="8">
        <v>383116</v>
      </c>
      <c r="K18" s="8">
        <v>20</v>
      </c>
      <c r="L18" s="8">
        <v>8.56</v>
      </c>
      <c r="M18" s="8">
        <v>136.63999999999999</v>
      </c>
      <c r="N18" s="8" t="s">
        <v>27</v>
      </c>
      <c r="O18" s="8" t="s">
        <v>18</v>
      </c>
      <c r="P18" s="9">
        <v>45446</v>
      </c>
      <c r="Q18" s="8" t="s">
        <v>12</v>
      </c>
      <c r="R18" s="10">
        <v>0</v>
      </c>
    </row>
    <row r="19" spans="1:18" x14ac:dyDescent="0.3">
      <c r="A19" s="7" t="s">
        <v>53</v>
      </c>
      <c r="B19" s="8" t="s">
        <v>36</v>
      </c>
      <c r="C19" s="8">
        <v>53</v>
      </c>
      <c r="D19" s="8" t="s">
        <v>31</v>
      </c>
      <c r="E19" s="8" t="s">
        <v>21</v>
      </c>
      <c r="F19" s="8">
        <v>117261</v>
      </c>
      <c r="G19" s="8" t="s">
        <v>8</v>
      </c>
      <c r="H19" s="8">
        <v>448</v>
      </c>
      <c r="I19" s="8" t="s">
        <v>9</v>
      </c>
      <c r="J19" s="8">
        <v>509476</v>
      </c>
      <c r="K19" s="8">
        <v>20</v>
      </c>
      <c r="L19" s="8">
        <v>8.3000000000000007</v>
      </c>
      <c r="M19" s="8">
        <v>176.19</v>
      </c>
      <c r="N19" s="8" t="s">
        <v>42</v>
      </c>
      <c r="O19" s="8" t="s">
        <v>22</v>
      </c>
      <c r="P19" s="9">
        <v>44994</v>
      </c>
      <c r="Q19" s="8" t="s">
        <v>12</v>
      </c>
      <c r="R19" s="10">
        <v>0</v>
      </c>
    </row>
    <row r="20" spans="1:18" x14ac:dyDescent="0.3">
      <c r="A20" s="7" t="s">
        <v>54</v>
      </c>
      <c r="B20" s="8" t="s">
        <v>45</v>
      </c>
      <c r="C20" s="8">
        <v>61</v>
      </c>
      <c r="D20" s="8" t="s">
        <v>31</v>
      </c>
      <c r="E20" s="8" t="s">
        <v>7</v>
      </c>
      <c r="F20" s="8">
        <v>127535</v>
      </c>
      <c r="G20" s="8" t="s">
        <v>15</v>
      </c>
      <c r="H20" s="8">
        <v>659</v>
      </c>
      <c r="I20" s="8" t="s">
        <v>16</v>
      </c>
      <c r="J20" s="8">
        <v>1826470</v>
      </c>
      <c r="K20" s="8">
        <v>10</v>
      </c>
      <c r="L20" s="8">
        <v>13.06</v>
      </c>
      <c r="M20" s="8">
        <v>1987.81</v>
      </c>
      <c r="N20" s="8" t="s">
        <v>8</v>
      </c>
      <c r="O20" s="8" t="s">
        <v>28</v>
      </c>
      <c r="P20" s="9">
        <v>45170</v>
      </c>
      <c r="Q20" s="8" t="s">
        <v>43</v>
      </c>
      <c r="R20" s="10">
        <v>0</v>
      </c>
    </row>
    <row r="21" spans="1:18" x14ac:dyDescent="0.3">
      <c r="A21" s="7" t="s">
        <v>55</v>
      </c>
      <c r="B21" s="8" t="s">
        <v>24</v>
      </c>
      <c r="C21" s="8">
        <v>37</v>
      </c>
      <c r="D21" s="8" t="s">
        <v>6</v>
      </c>
      <c r="E21" s="8" t="s">
        <v>21</v>
      </c>
      <c r="F21" s="8">
        <v>115701</v>
      </c>
      <c r="G21" s="8" t="s">
        <v>15</v>
      </c>
      <c r="H21" s="8">
        <v>628</v>
      </c>
      <c r="I21" s="8" t="s">
        <v>16</v>
      </c>
      <c r="J21" s="8">
        <v>1095766</v>
      </c>
      <c r="K21" s="8">
        <v>5</v>
      </c>
      <c r="L21" s="8">
        <v>9.9700000000000006</v>
      </c>
      <c r="M21" s="8">
        <v>1820.8</v>
      </c>
      <c r="N21" s="8" t="s">
        <v>8</v>
      </c>
      <c r="O21" s="8" t="s">
        <v>22</v>
      </c>
      <c r="P21" s="9">
        <v>44683</v>
      </c>
      <c r="Q21" s="8" t="s">
        <v>29</v>
      </c>
      <c r="R21" s="10">
        <v>1</v>
      </c>
    </row>
    <row r="22" spans="1:18" x14ac:dyDescent="0.3">
      <c r="A22" s="7" t="s">
        <v>56</v>
      </c>
      <c r="B22" s="8" t="s">
        <v>14</v>
      </c>
      <c r="C22" s="8">
        <v>64</v>
      </c>
      <c r="D22" s="8" t="s">
        <v>31</v>
      </c>
      <c r="E22" s="8" t="s">
        <v>21</v>
      </c>
      <c r="F22" s="8">
        <v>130860</v>
      </c>
      <c r="G22" s="8" t="s">
        <v>25</v>
      </c>
      <c r="H22" s="8">
        <v>390</v>
      </c>
      <c r="I22" s="8" t="s">
        <v>9</v>
      </c>
      <c r="J22" s="8">
        <v>1550217</v>
      </c>
      <c r="K22" s="8">
        <v>10</v>
      </c>
      <c r="L22" s="8">
        <v>12.11</v>
      </c>
      <c r="M22" s="8">
        <v>1564.43</v>
      </c>
      <c r="N22" s="8" t="s">
        <v>17</v>
      </c>
      <c r="O22" s="8" t="s">
        <v>28</v>
      </c>
      <c r="P22" s="9">
        <v>44824</v>
      </c>
      <c r="Q22" s="8" t="s">
        <v>29</v>
      </c>
      <c r="R22" s="10">
        <v>1</v>
      </c>
    </row>
    <row r="23" spans="1:18" x14ac:dyDescent="0.3">
      <c r="A23" s="7" t="s">
        <v>57</v>
      </c>
      <c r="B23" s="8" t="s">
        <v>47</v>
      </c>
      <c r="C23" s="8">
        <v>32</v>
      </c>
      <c r="D23" s="8" t="s">
        <v>6</v>
      </c>
      <c r="E23" s="8" t="s">
        <v>21</v>
      </c>
      <c r="F23" s="8">
        <v>140938</v>
      </c>
      <c r="G23" s="8" t="s">
        <v>25</v>
      </c>
      <c r="H23" s="8">
        <v>590</v>
      </c>
      <c r="I23" s="8" t="s">
        <v>16</v>
      </c>
      <c r="J23" s="8">
        <v>658629</v>
      </c>
      <c r="K23" s="8">
        <v>15</v>
      </c>
      <c r="L23" s="8">
        <v>11.15</v>
      </c>
      <c r="M23" s="8">
        <v>407.98</v>
      </c>
      <c r="N23" s="8" t="s">
        <v>17</v>
      </c>
      <c r="O23" s="8" t="s">
        <v>28</v>
      </c>
      <c r="P23" s="9">
        <v>45035</v>
      </c>
      <c r="Q23" s="8" t="s">
        <v>12</v>
      </c>
      <c r="R23" s="10">
        <v>0</v>
      </c>
    </row>
    <row r="24" spans="1:18" x14ac:dyDescent="0.3">
      <c r="A24" s="7" t="s">
        <v>58</v>
      </c>
      <c r="B24" s="8" t="s">
        <v>33</v>
      </c>
      <c r="C24" s="8">
        <v>35</v>
      </c>
      <c r="D24" s="8" t="s">
        <v>6</v>
      </c>
      <c r="E24" s="8" t="s">
        <v>21</v>
      </c>
      <c r="F24" s="8">
        <v>98459</v>
      </c>
      <c r="G24" s="8" t="s">
        <v>8</v>
      </c>
      <c r="H24" s="8">
        <v>803</v>
      </c>
      <c r="I24" s="8" t="s">
        <v>40</v>
      </c>
      <c r="J24" s="8">
        <v>1530053</v>
      </c>
      <c r="K24" s="8">
        <v>5</v>
      </c>
      <c r="L24" s="8">
        <v>14.02</v>
      </c>
      <c r="M24" s="8">
        <v>3575.22</v>
      </c>
      <c r="N24" s="8" t="s">
        <v>17</v>
      </c>
      <c r="O24" s="8" t="s">
        <v>22</v>
      </c>
      <c r="P24" s="9">
        <v>44903</v>
      </c>
      <c r="Q24" s="8" t="s">
        <v>43</v>
      </c>
      <c r="R24" s="10">
        <v>0</v>
      </c>
    </row>
    <row r="25" spans="1:18" x14ac:dyDescent="0.3">
      <c r="A25" s="7" t="s">
        <v>59</v>
      </c>
      <c r="B25" s="8" t="s">
        <v>39</v>
      </c>
      <c r="C25" s="8">
        <v>64</v>
      </c>
      <c r="D25" s="8" t="s">
        <v>31</v>
      </c>
      <c r="E25" s="8" t="s">
        <v>7</v>
      </c>
      <c r="F25" s="8">
        <v>126087</v>
      </c>
      <c r="G25" s="8" t="s">
        <v>25</v>
      </c>
      <c r="H25" s="8">
        <v>770</v>
      </c>
      <c r="I25" s="8" t="s">
        <v>40</v>
      </c>
      <c r="J25" s="8">
        <v>364086</v>
      </c>
      <c r="K25" s="8">
        <v>15</v>
      </c>
      <c r="L25" s="8">
        <v>7.63</v>
      </c>
      <c r="M25" s="8">
        <v>154.33000000000001</v>
      </c>
      <c r="N25" s="8" t="s">
        <v>8</v>
      </c>
      <c r="O25" s="8" t="s">
        <v>11</v>
      </c>
      <c r="P25" s="9">
        <v>45416</v>
      </c>
      <c r="Q25" s="8" t="s">
        <v>12</v>
      </c>
      <c r="R25" s="10">
        <v>0</v>
      </c>
    </row>
    <row r="26" spans="1:18" x14ac:dyDescent="0.3">
      <c r="A26" s="7" t="s">
        <v>60</v>
      </c>
      <c r="B26" s="8" t="s">
        <v>39</v>
      </c>
      <c r="C26" s="8">
        <v>54</v>
      </c>
      <c r="D26" s="8" t="s">
        <v>31</v>
      </c>
      <c r="E26" s="8" t="s">
        <v>7</v>
      </c>
      <c r="F26" s="8">
        <v>102639</v>
      </c>
      <c r="G26" s="8" t="s">
        <v>8</v>
      </c>
      <c r="H26" s="8">
        <v>694</v>
      </c>
      <c r="I26" s="8" t="s">
        <v>16</v>
      </c>
      <c r="J26" s="8">
        <v>1457972</v>
      </c>
      <c r="K26" s="8">
        <v>5</v>
      </c>
      <c r="L26" s="8">
        <v>8.06</v>
      </c>
      <c r="M26" s="8">
        <v>1958.54</v>
      </c>
      <c r="N26" s="8" t="s">
        <v>42</v>
      </c>
      <c r="O26" s="8" t="s">
        <v>22</v>
      </c>
      <c r="P26" s="9">
        <v>45168</v>
      </c>
      <c r="Q26" s="8" t="s">
        <v>29</v>
      </c>
      <c r="R26" s="10">
        <v>1</v>
      </c>
    </row>
    <row r="27" spans="1:18" x14ac:dyDescent="0.3">
      <c r="A27" s="7" t="s">
        <v>61</v>
      </c>
      <c r="B27" s="8" t="s">
        <v>14</v>
      </c>
      <c r="C27" s="8">
        <v>48</v>
      </c>
      <c r="D27" s="8" t="s">
        <v>31</v>
      </c>
      <c r="E27" s="8" t="s">
        <v>7</v>
      </c>
      <c r="F27" s="8">
        <v>111409</v>
      </c>
      <c r="G27" s="8" t="s">
        <v>8</v>
      </c>
      <c r="H27" s="8">
        <v>387</v>
      </c>
      <c r="I27" s="8" t="s">
        <v>9</v>
      </c>
      <c r="J27" s="8">
        <v>477014</v>
      </c>
      <c r="K27" s="8">
        <v>20</v>
      </c>
      <c r="L27" s="8">
        <v>11.77</v>
      </c>
      <c r="M27" s="8">
        <v>233.94</v>
      </c>
      <c r="N27" s="8" t="s">
        <v>8</v>
      </c>
      <c r="O27" s="8" t="s">
        <v>18</v>
      </c>
      <c r="P27" s="9">
        <v>44818</v>
      </c>
      <c r="Q27" s="8" t="s">
        <v>12</v>
      </c>
      <c r="R27" s="10">
        <v>0</v>
      </c>
    </row>
    <row r="28" spans="1:18" x14ac:dyDescent="0.3">
      <c r="A28" s="7" t="s">
        <v>62</v>
      </c>
      <c r="B28" s="8" t="s">
        <v>47</v>
      </c>
      <c r="C28" s="8">
        <v>35</v>
      </c>
      <c r="D28" s="8" t="s">
        <v>6</v>
      </c>
      <c r="E28" s="8" t="s">
        <v>21</v>
      </c>
      <c r="F28" s="8">
        <v>67339</v>
      </c>
      <c r="G28" s="8" t="s">
        <v>25</v>
      </c>
      <c r="H28" s="8">
        <v>698</v>
      </c>
      <c r="I28" s="8" t="s">
        <v>16</v>
      </c>
      <c r="J28" s="8">
        <v>618988</v>
      </c>
      <c r="K28" s="8">
        <v>20</v>
      </c>
      <c r="L28" s="8">
        <v>12.51</v>
      </c>
      <c r="M28" s="8">
        <v>322.64999999999998</v>
      </c>
      <c r="N28" s="8" t="s">
        <v>42</v>
      </c>
      <c r="O28" s="8" t="s">
        <v>18</v>
      </c>
      <c r="P28" s="9">
        <v>44737</v>
      </c>
      <c r="Q28" s="8" t="s">
        <v>12</v>
      </c>
      <c r="R28" s="10">
        <v>0</v>
      </c>
    </row>
    <row r="29" spans="1:18" x14ac:dyDescent="0.3">
      <c r="A29" s="7" t="s">
        <v>63</v>
      </c>
      <c r="B29" s="8" t="s">
        <v>20</v>
      </c>
      <c r="C29" s="8">
        <v>32</v>
      </c>
      <c r="D29" s="8" t="s">
        <v>6</v>
      </c>
      <c r="E29" s="8" t="s">
        <v>7</v>
      </c>
      <c r="F29" s="8">
        <v>125967</v>
      </c>
      <c r="G29" s="8" t="s">
        <v>25</v>
      </c>
      <c r="H29" s="8">
        <v>782</v>
      </c>
      <c r="I29" s="8" t="s">
        <v>40</v>
      </c>
      <c r="J29" s="8">
        <v>1460510</v>
      </c>
      <c r="K29" s="8">
        <v>5</v>
      </c>
      <c r="L29" s="8">
        <v>13.6</v>
      </c>
      <c r="M29" s="8">
        <v>3310.49</v>
      </c>
      <c r="N29" s="8" t="s">
        <v>17</v>
      </c>
      <c r="O29" s="8" t="s">
        <v>22</v>
      </c>
      <c r="P29" s="9">
        <v>44622</v>
      </c>
      <c r="Q29" s="8" t="s">
        <v>12</v>
      </c>
      <c r="R29" s="10">
        <v>0</v>
      </c>
    </row>
    <row r="30" spans="1:18" x14ac:dyDescent="0.3">
      <c r="A30" s="7" t="s">
        <v>64</v>
      </c>
      <c r="B30" s="8" t="s">
        <v>36</v>
      </c>
      <c r="C30" s="8">
        <v>24</v>
      </c>
      <c r="D30" s="8" t="s">
        <v>34</v>
      </c>
      <c r="E30" s="8" t="s">
        <v>7</v>
      </c>
      <c r="F30" s="8">
        <v>58673</v>
      </c>
      <c r="G30" s="8" t="s">
        <v>8</v>
      </c>
      <c r="H30" s="8">
        <v>828</v>
      </c>
      <c r="I30" s="8" t="s">
        <v>40</v>
      </c>
      <c r="J30" s="8">
        <v>1566532</v>
      </c>
      <c r="K30" s="8">
        <v>10</v>
      </c>
      <c r="L30" s="8">
        <v>10.79</v>
      </c>
      <c r="M30" s="8">
        <v>1408.57</v>
      </c>
      <c r="N30" s="8" t="s">
        <v>42</v>
      </c>
      <c r="O30" s="8" t="s">
        <v>11</v>
      </c>
      <c r="P30" s="9">
        <v>45040</v>
      </c>
      <c r="Q30" s="8" t="s">
        <v>12</v>
      </c>
      <c r="R30" s="10">
        <v>0</v>
      </c>
    </row>
    <row r="31" spans="1:18" x14ac:dyDescent="0.3">
      <c r="A31" s="7" t="s">
        <v>65</v>
      </c>
      <c r="B31" s="8" t="s">
        <v>47</v>
      </c>
      <c r="C31" s="8">
        <v>55</v>
      </c>
      <c r="D31" s="8" t="s">
        <v>31</v>
      </c>
      <c r="E31" s="8" t="s">
        <v>21</v>
      </c>
      <c r="F31" s="8">
        <v>117410</v>
      </c>
      <c r="G31" s="8" t="s">
        <v>8</v>
      </c>
      <c r="H31" s="8">
        <v>808</v>
      </c>
      <c r="I31" s="8" t="s">
        <v>40</v>
      </c>
      <c r="J31" s="8">
        <v>1959208</v>
      </c>
      <c r="K31" s="8">
        <v>20</v>
      </c>
      <c r="L31" s="8">
        <v>7.33</v>
      </c>
      <c r="M31" s="8">
        <v>598.37</v>
      </c>
      <c r="N31" s="8" t="s">
        <v>27</v>
      </c>
      <c r="O31" s="8" t="s">
        <v>28</v>
      </c>
      <c r="P31" s="9">
        <v>44719</v>
      </c>
      <c r="Q31" s="8" t="s">
        <v>12</v>
      </c>
      <c r="R31" s="10">
        <v>0</v>
      </c>
    </row>
    <row r="32" spans="1:18" x14ac:dyDescent="0.3">
      <c r="A32" s="7" t="s">
        <v>66</v>
      </c>
      <c r="B32" s="8" t="s">
        <v>14</v>
      </c>
      <c r="C32" s="8">
        <v>37</v>
      </c>
      <c r="D32" s="8" t="s">
        <v>6</v>
      </c>
      <c r="E32" s="8" t="s">
        <v>21</v>
      </c>
      <c r="F32" s="8">
        <v>21696</v>
      </c>
      <c r="G32" s="8" t="s">
        <v>8</v>
      </c>
      <c r="H32" s="8">
        <v>484</v>
      </c>
      <c r="I32" s="8" t="s">
        <v>9</v>
      </c>
      <c r="J32" s="8">
        <v>1299810</v>
      </c>
      <c r="K32" s="8">
        <v>15</v>
      </c>
      <c r="L32" s="8">
        <v>13.75</v>
      </c>
      <c r="M32" s="8">
        <v>992.91</v>
      </c>
      <c r="N32" s="8" t="s">
        <v>27</v>
      </c>
      <c r="O32" s="8" t="s">
        <v>11</v>
      </c>
      <c r="P32" s="9">
        <v>45049</v>
      </c>
      <c r="Q32" s="8" t="s">
        <v>43</v>
      </c>
      <c r="R32" s="10">
        <v>0</v>
      </c>
    </row>
    <row r="33" spans="1:18" x14ac:dyDescent="0.3">
      <c r="A33" s="7" t="s">
        <v>67</v>
      </c>
      <c r="B33" s="8" t="s">
        <v>52</v>
      </c>
      <c r="C33" s="8">
        <v>40</v>
      </c>
      <c r="D33" s="8" t="s">
        <v>6</v>
      </c>
      <c r="E33" s="8" t="s">
        <v>7</v>
      </c>
      <c r="F33" s="8">
        <v>145212</v>
      </c>
      <c r="G33" s="8" t="s">
        <v>8</v>
      </c>
      <c r="H33" s="8">
        <v>469</v>
      </c>
      <c r="I33" s="8" t="s">
        <v>9</v>
      </c>
      <c r="J33" s="8">
        <v>908996</v>
      </c>
      <c r="K33" s="8">
        <v>5</v>
      </c>
      <c r="L33" s="8">
        <v>8.2899999999999991</v>
      </c>
      <c r="M33" s="8">
        <v>1255.93</v>
      </c>
      <c r="N33" s="8" t="s">
        <v>42</v>
      </c>
      <c r="O33" s="8" t="s">
        <v>28</v>
      </c>
      <c r="P33" s="9">
        <v>44896</v>
      </c>
      <c r="Q33" s="8" t="s">
        <v>43</v>
      </c>
      <c r="R33" s="10">
        <v>0</v>
      </c>
    </row>
    <row r="34" spans="1:18" x14ac:dyDescent="0.3">
      <c r="A34" s="7" t="s">
        <v>68</v>
      </c>
      <c r="B34" s="8" t="s">
        <v>24</v>
      </c>
      <c r="C34" s="8">
        <v>50</v>
      </c>
      <c r="D34" s="8" t="s">
        <v>31</v>
      </c>
      <c r="E34" s="8" t="s">
        <v>21</v>
      </c>
      <c r="F34" s="8">
        <v>58375</v>
      </c>
      <c r="G34" s="8" t="s">
        <v>25</v>
      </c>
      <c r="H34" s="8">
        <v>744</v>
      </c>
      <c r="I34" s="8" t="s">
        <v>40</v>
      </c>
      <c r="J34" s="8">
        <v>274555</v>
      </c>
      <c r="K34" s="8">
        <v>5</v>
      </c>
      <c r="L34" s="8">
        <v>13.17</v>
      </c>
      <c r="M34" s="8">
        <v>602.65</v>
      </c>
      <c r="N34" s="8" t="s">
        <v>8</v>
      </c>
      <c r="O34" s="8" t="s">
        <v>28</v>
      </c>
      <c r="P34" s="9">
        <v>44869</v>
      </c>
      <c r="Q34" s="8" t="s">
        <v>12</v>
      </c>
      <c r="R34" s="10">
        <v>0</v>
      </c>
    </row>
    <row r="35" spans="1:18" x14ac:dyDescent="0.3">
      <c r="A35" s="7" t="s">
        <v>69</v>
      </c>
      <c r="B35" s="8" t="s">
        <v>33</v>
      </c>
      <c r="C35" s="8">
        <v>56</v>
      </c>
      <c r="D35" s="8" t="s">
        <v>31</v>
      </c>
      <c r="E35" s="8" t="s">
        <v>21</v>
      </c>
      <c r="F35" s="8">
        <v>35673</v>
      </c>
      <c r="G35" s="8" t="s">
        <v>25</v>
      </c>
      <c r="H35" s="8">
        <v>461</v>
      </c>
      <c r="I35" s="8" t="s">
        <v>9</v>
      </c>
      <c r="J35" s="8">
        <v>1721916</v>
      </c>
      <c r="K35" s="8">
        <v>15</v>
      </c>
      <c r="L35" s="8">
        <v>14.24</v>
      </c>
      <c r="M35" s="8">
        <v>1362.23</v>
      </c>
      <c r="N35" s="8" t="s">
        <v>8</v>
      </c>
      <c r="O35" s="8" t="s">
        <v>22</v>
      </c>
      <c r="P35" s="9">
        <v>45055</v>
      </c>
      <c r="Q35" s="8" t="s">
        <v>12</v>
      </c>
      <c r="R35" s="10">
        <v>0</v>
      </c>
    </row>
    <row r="36" spans="1:18" x14ac:dyDescent="0.3">
      <c r="A36" s="7" t="s">
        <v>70</v>
      </c>
      <c r="B36" s="8" t="s">
        <v>39</v>
      </c>
      <c r="C36" s="8">
        <v>37</v>
      </c>
      <c r="D36" s="8" t="s">
        <v>6</v>
      </c>
      <c r="E36" s="8" t="s">
        <v>21</v>
      </c>
      <c r="F36" s="8">
        <v>26865</v>
      </c>
      <c r="G36" s="8" t="s">
        <v>8</v>
      </c>
      <c r="H36" s="8">
        <v>409</v>
      </c>
      <c r="I36" s="8" t="s">
        <v>9</v>
      </c>
      <c r="J36" s="8">
        <v>1691135</v>
      </c>
      <c r="K36" s="8">
        <v>10</v>
      </c>
      <c r="L36" s="8">
        <v>7.34</v>
      </c>
      <c r="M36" s="8">
        <v>1034.4100000000001</v>
      </c>
      <c r="N36" s="8" t="s">
        <v>27</v>
      </c>
      <c r="O36" s="8" t="s">
        <v>18</v>
      </c>
      <c r="P36" s="9">
        <v>45186</v>
      </c>
      <c r="Q36" s="8" t="s">
        <v>43</v>
      </c>
      <c r="R36" s="10">
        <v>0</v>
      </c>
    </row>
    <row r="37" spans="1:18" x14ac:dyDescent="0.3">
      <c r="A37" s="7" t="s">
        <v>71</v>
      </c>
      <c r="B37" s="8" t="s">
        <v>24</v>
      </c>
      <c r="C37" s="8">
        <v>27</v>
      </c>
      <c r="D37" s="8" t="s">
        <v>34</v>
      </c>
      <c r="E37" s="8" t="s">
        <v>7</v>
      </c>
      <c r="F37" s="8">
        <v>140282</v>
      </c>
      <c r="G37" s="8" t="s">
        <v>15</v>
      </c>
      <c r="H37" s="8">
        <v>686</v>
      </c>
      <c r="I37" s="8" t="s">
        <v>16</v>
      </c>
      <c r="J37" s="8">
        <v>1351169</v>
      </c>
      <c r="K37" s="8">
        <v>15</v>
      </c>
      <c r="L37" s="8">
        <v>14.77</v>
      </c>
      <c r="M37" s="8">
        <v>1108.71</v>
      </c>
      <c r="N37" s="8" t="s">
        <v>8</v>
      </c>
      <c r="O37" s="8" t="s">
        <v>18</v>
      </c>
      <c r="P37" s="9">
        <v>45015</v>
      </c>
      <c r="Q37" s="8" t="s">
        <v>12</v>
      </c>
      <c r="R37" s="10">
        <v>0</v>
      </c>
    </row>
    <row r="38" spans="1:18" x14ac:dyDescent="0.3">
      <c r="A38" s="7" t="s">
        <v>72</v>
      </c>
      <c r="B38" s="8" t="s">
        <v>36</v>
      </c>
      <c r="C38" s="8">
        <v>37</v>
      </c>
      <c r="D38" s="8" t="s">
        <v>6</v>
      </c>
      <c r="E38" s="8" t="s">
        <v>7</v>
      </c>
      <c r="F38" s="8">
        <v>123590</v>
      </c>
      <c r="G38" s="8" t="s">
        <v>8</v>
      </c>
      <c r="H38" s="8">
        <v>801</v>
      </c>
      <c r="I38" s="8" t="s">
        <v>40</v>
      </c>
      <c r="J38" s="8">
        <v>1267892</v>
      </c>
      <c r="K38" s="8">
        <v>5</v>
      </c>
      <c r="L38" s="8">
        <v>11.18</v>
      </c>
      <c r="M38" s="8">
        <v>2362.5100000000002</v>
      </c>
      <c r="N38" s="8" t="s">
        <v>17</v>
      </c>
      <c r="O38" s="8" t="s">
        <v>22</v>
      </c>
      <c r="P38" s="9">
        <v>44937</v>
      </c>
      <c r="Q38" s="8" t="s">
        <v>29</v>
      </c>
      <c r="R38" s="10">
        <v>1</v>
      </c>
    </row>
    <row r="39" spans="1:18" x14ac:dyDescent="0.3">
      <c r="A39" s="7" t="s">
        <v>73</v>
      </c>
      <c r="B39" s="8" t="s">
        <v>20</v>
      </c>
      <c r="C39" s="8">
        <v>57</v>
      </c>
      <c r="D39" s="8" t="s">
        <v>31</v>
      </c>
      <c r="E39" s="8" t="s">
        <v>21</v>
      </c>
      <c r="F39" s="8">
        <v>135568</v>
      </c>
      <c r="G39" s="8" t="s">
        <v>15</v>
      </c>
      <c r="H39" s="8">
        <v>843</v>
      </c>
      <c r="I39" s="8" t="s">
        <v>40</v>
      </c>
      <c r="J39" s="8">
        <v>851925</v>
      </c>
      <c r="K39" s="8">
        <v>15</v>
      </c>
      <c r="L39" s="8">
        <v>13.53</v>
      </c>
      <c r="M39" s="8">
        <v>640.36</v>
      </c>
      <c r="N39" s="8" t="s">
        <v>17</v>
      </c>
      <c r="O39" s="8" t="s">
        <v>28</v>
      </c>
      <c r="P39" s="9">
        <v>44700</v>
      </c>
      <c r="Q39" s="8" t="s">
        <v>12</v>
      </c>
      <c r="R39" s="10">
        <v>0</v>
      </c>
    </row>
    <row r="40" spans="1:18" x14ac:dyDescent="0.3">
      <c r="A40" s="7" t="s">
        <v>74</v>
      </c>
      <c r="B40" s="8" t="s">
        <v>47</v>
      </c>
      <c r="C40" s="8">
        <v>61</v>
      </c>
      <c r="D40" s="8" t="s">
        <v>31</v>
      </c>
      <c r="E40" s="8" t="s">
        <v>7</v>
      </c>
      <c r="F40" s="8">
        <v>110639</v>
      </c>
      <c r="G40" s="8" t="s">
        <v>25</v>
      </c>
      <c r="H40" s="8">
        <v>701</v>
      </c>
      <c r="I40" s="8" t="s">
        <v>40</v>
      </c>
      <c r="J40" s="8">
        <v>1229424</v>
      </c>
      <c r="K40" s="8">
        <v>20</v>
      </c>
      <c r="L40" s="8">
        <v>11.06</v>
      </c>
      <c r="M40" s="8">
        <v>566.55999999999995</v>
      </c>
      <c r="N40" s="8" t="s">
        <v>17</v>
      </c>
      <c r="O40" s="8" t="s">
        <v>11</v>
      </c>
      <c r="P40" s="9">
        <v>44848</v>
      </c>
      <c r="Q40" s="8" t="s">
        <v>12</v>
      </c>
      <c r="R40" s="10">
        <v>0</v>
      </c>
    </row>
    <row r="41" spans="1:18" x14ac:dyDescent="0.3">
      <c r="A41" s="7" t="s">
        <v>75</v>
      </c>
      <c r="B41" s="8" t="s">
        <v>14</v>
      </c>
      <c r="C41" s="8">
        <v>35</v>
      </c>
      <c r="D41" s="8" t="s">
        <v>6</v>
      </c>
      <c r="E41" s="8" t="s">
        <v>21</v>
      </c>
      <c r="F41" s="8">
        <v>56931</v>
      </c>
      <c r="G41" s="8" t="s">
        <v>15</v>
      </c>
      <c r="H41" s="8">
        <v>513</v>
      </c>
      <c r="I41" s="8" t="s">
        <v>9</v>
      </c>
      <c r="J41" s="8">
        <v>199633</v>
      </c>
      <c r="K41" s="8">
        <v>5</v>
      </c>
      <c r="L41" s="8">
        <v>9.35</v>
      </c>
      <c r="M41" s="8">
        <v>311.08999999999997</v>
      </c>
      <c r="N41" s="8" t="s">
        <v>10</v>
      </c>
      <c r="O41" s="8" t="s">
        <v>28</v>
      </c>
      <c r="P41" s="9">
        <v>45113</v>
      </c>
      <c r="Q41" s="8" t="s">
        <v>12</v>
      </c>
      <c r="R41" s="10">
        <v>0</v>
      </c>
    </row>
    <row r="42" spans="1:18" x14ac:dyDescent="0.3">
      <c r="A42" s="7" t="s">
        <v>76</v>
      </c>
      <c r="B42" s="8" t="s">
        <v>36</v>
      </c>
      <c r="C42" s="8">
        <v>61</v>
      </c>
      <c r="D42" s="8" t="s">
        <v>31</v>
      </c>
      <c r="E42" s="8" t="s">
        <v>7</v>
      </c>
      <c r="F42" s="8">
        <v>106309</v>
      </c>
      <c r="G42" s="8" t="s">
        <v>25</v>
      </c>
      <c r="H42" s="8">
        <v>445</v>
      </c>
      <c r="I42" s="8" t="s">
        <v>9</v>
      </c>
      <c r="J42" s="8">
        <v>260049</v>
      </c>
      <c r="K42" s="8">
        <v>5</v>
      </c>
      <c r="L42" s="8">
        <v>9.91</v>
      </c>
      <c r="M42" s="8">
        <v>429.51</v>
      </c>
      <c r="N42" s="8" t="s">
        <v>10</v>
      </c>
      <c r="O42" s="8" t="s">
        <v>28</v>
      </c>
      <c r="P42" s="9">
        <v>44659</v>
      </c>
      <c r="Q42" s="8" t="s">
        <v>12</v>
      </c>
      <c r="R42" s="10">
        <v>0</v>
      </c>
    </row>
    <row r="43" spans="1:18" x14ac:dyDescent="0.3">
      <c r="A43" s="7" t="s">
        <v>77</v>
      </c>
      <c r="B43" s="8" t="s">
        <v>33</v>
      </c>
      <c r="C43" s="8">
        <v>40</v>
      </c>
      <c r="D43" s="8" t="s">
        <v>6</v>
      </c>
      <c r="E43" s="8" t="s">
        <v>21</v>
      </c>
      <c r="F43" s="8">
        <v>75485</v>
      </c>
      <c r="G43" s="8" t="s">
        <v>25</v>
      </c>
      <c r="H43" s="8">
        <v>534</v>
      </c>
      <c r="I43" s="8" t="s">
        <v>9</v>
      </c>
      <c r="J43" s="8">
        <v>1687585</v>
      </c>
      <c r="K43" s="8">
        <v>20</v>
      </c>
      <c r="L43" s="8">
        <v>11.57</v>
      </c>
      <c r="M43" s="8">
        <v>813.56</v>
      </c>
      <c r="N43" s="8" t="s">
        <v>10</v>
      </c>
      <c r="O43" s="8" t="s">
        <v>22</v>
      </c>
      <c r="P43" s="9">
        <v>45139</v>
      </c>
      <c r="Q43" s="8" t="s">
        <v>43</v>
      </c>
      <c r="R43" s="10">
        <v>0</v>
      </c>
    </row>
    <row r="44" spans="1:18" x14ac:dyDescent="0.3">
      <c r="A44" s="7" t="s">
        <v>78</v>
      </c>
      <c r="B44" s="8" t="s">
        <v>5</v>
      </c>
      <c r="C44" s="8">
        <v>36</v>
      </c>
      <c r="D44" s="8" t="s">
        <v>6</v>
      </c>
      <c r="E44" s="8" t="s">
        <v>21</v>
      </c>
      <c r="F44" s="8">
        <v>140712</v>
      </c>
      <c r="G44" s="8" t="s">
        <v>15</v>
      </c>
      <c r="H44" s="8">
        <v>404</v>
      </c>
      <c r="I44" s="8" t="s">
        <v>9</v>
      </c>
      <c r="J44" s="8">
        <v>1579620</v>
      </c>
      <c r="K44" s="8">
        <v>15</v>
      </c>
      <c r="L44" s="8">
        <v>8.44</v>
      </c>
      <c r="M44" s="8">
        <v>740.67</v>
      </c>
      <c r="N44" s="8" t="s">
        <v>8</v>
      </c>
      <c r="O44" s="8" t="s">
        <v>11</v>
      </c>
      <c r="P44" s="9">
        <v>44933</v>
      </c>
      <c r="Q44" s="8" t="s">
        <v>12</v>
      </c>
      <c r="R44" s="10">
        <v>0</v>
      </c>
    </row>
    <row r="45" spans="1:18" x14ac:dyDescent="0.3">
      <c r="A45" s="7" t="s">
        <v>79</v>
      </c>
      <c r="B45" s="8" t="s">
        <v>47</v>
      </c>
      <c r="C45" s="8">
        <v>57</v>
      </c>
      <c r="D45" s="8" t="s">
        <v>31</v>
      </c>
      <c r="E45" s="8" t="s">
        <v>7</v>
      </c>
      <c r="F45" s="8">
        <v>68362</v>
      </c>
      <c r="G45" s="8" t="s">
        <v>15</v>
      </c>
      <c r="H45" s="8">
        <v>496</v>
      </c>
      <c r="I45" s="8" t="s">
        <v>9</v>
      </c>
      <c r="J45" s="8">
        <v>342270</v>
      </c>
      <c r="K45" s="8">
        <v>20</v>
      </c>
      <c r="L45" s="8">
        <v>9.83</v>
      </c>
      <c r="M45" s="8">
        <v>140.19</v>
      </c>
      <c r="N45" s="8" t="s">
        <v>8</v>
      </c>
      <c r="O45" s="8" t="s">
        <v>18</v>
      </c>
      <c r="P45" s="9">
        <v>45416</v>
      </c>
      <c r="Q45" s="8" t="s">
        <v>43</v>
      </c>
      <c r="R45" s="10">
        <v>0</v>
      </c>
    </row>
    <row r="46" spans="1:18" x14ac:dyDescent="0.3">
      <c r="A46" s="7" t="s">
        <v>80</v>
      </c>
      <c r="B46" s="8" t="s">
        <v>45</v>
      </c>
      <c r="C46" s="8">
        <v>49</v>
      </c>
      <c r="D46" s="8" t="s">
        <v>31</v>
      </c>
      <c r="E46" s="8" t="s">
        <v>7</v>
      </c>
      <c r="F46" s="8">
        <v>46537</v>
      </c>
      <c r="G46" s="8" t="s">
        <v>15</v>
      </c>
      <c r="H46" s="8">
        <v>331</v>
      </c>
      <c r="I46" s="8" t="s">
        <v>9</v>
      </c>
      <c r="J46" s="8">
        <v>1633512</v>
      </c>
      <c r="K46" s="8">
        <v>10</v>
      </c>
      <c r="L46" s="8">
        <v>11.15</v>
      </c>
      <c r="M46" s="8">
        <v>1517.8</v>
      </c>
      <c r="N46" s="8" t="s">
        <v>42</v>
      </c>
      <c r="O46" s="8" t="s">
        <v>22</v>
      </c>
      <c r="P46" s="9">
        <v>45423</v>
      </c>
      <c r="Q46" s="8" t="s">
        <v>43</v>
      </c>
      <c r="R46" s="10">
        <v>0</v>
      </c>
    </row>
    <row r="47" spans="1:18" x14ac:dyDescent="0.3">
      <c r="A47" s="7" t="s">
        <v>81</v>
      </c>
      <c r="B47" s="8" t="s">
        <v>5</v>
      </c>
      <c r="C47" s="8">
        <v>30</v>
      </c>
      <c r="D47" s="8" t="s">
        <v>6</v>
      </c>
      <c r="E47" s="8" t="s">
        <v>21</v>
      </c>
      <c r="F47" s="8">
        <v>27148</v>
      </c>
      <c r="G47" s="8" t="s">
        <v>15</v>
      </c>
      <c r="H47" s="8">
        <v>623</v>
      </c>
      <c r="I47" s="8" t="s">
        <v>16</v>
      </c>
      <c r="J47" s="8">
        <v>1083689</v>
      </c>
      <c r="K47" s="8">
        <v>15</v>
      </c>
      <c r="L47" s="8">
        <v>13.33</v>
      </c>
      <c r="M47" s="8">
        <v>802.53</v>
      </c>
      <c r="N47" s="8" t="s">
        <v>8</v>
      </c>
      <c r="O47" s="8" t="s">
        <v>11</v>
      </c>
      <c r="P47" s="9">
        <v>45168</v>
      </c>
      <c r="Q47" s="8" t="s">
        <v>43</v>
      </c>
      <c r="R47" s="10">
        <v>0</v>
      </c>
    </row>
    <row r="48" spans="1:18" x14ac:dyDescent="0.3">
      <c r="A48" s="7" t="s">
        <v>82</v>
      </c>
      <c r="B48" s="8" t="s">
        <v>24</v>
      </c>
      <c r="C48" s="8">
        <v>58</v>
      </c>
      <c r="D48" s="8" t="s">
        <v>31</v>
      </c>
      <c r="E48" s="8" t="s">
        <v>21</v>
      </c>
      <c r="F48" s="8">
        <v>85913</v>
      </c>
      <c r="G48" s="8" t="s">
        <v>8</v>
      </c>
      <c r="H48" s="8">
        <v>435</v>
      </c>
      <c r="I48" s="8" t="s">
        <v>9</v>
      </c>
      <c r="J48" s="8">
        <v>939894</v>
      </c>
      <c r="K48" s="8">
        <v>5</v>
      </c>
      <c r="L48" s="8">
        <v>13.25</v>
      </c>
      <c r="M48" s="8">
        <v>2075.6</v>
      </c>
      <c r="N48" s="8" t="s">
        <v>8</v>
      </c>
      <c r="O48" s="8" t="s">
        <v>22</v>
      </c>
      <c r="P48" s="9">
        <v>45442</v>
      </c>
      <c r="Q48" s="8" t="s">
        <v>29</v>
      </c>
      <c r="R48" s="10">
        <v>1</v>
      </c>
    </row>
    <row r="49" spans="1:18" x14ac:dyDescent="0.3">
      <c r="A49" s="7" t="s">
        <v>83</v>
      </c>
      <c r="B49" s="8" t="s">
        <v>47</v>
      </c>
      <c r="C49" s="8">
        <v>31</v>
      </c>
      <c r="D49" s="8" t="s">
        <v>6</v>
      </c>
      <c r="E49" s="8" t="s">
        <v>7</v>
      </c>
      <c r="F49" s="8">
        <v>137909</v>
      </c>
      <c r="G49" s="8" t="s">
        <v>15</v>
      </c>
      <c r="H49" s="8">
        <v>364</v>
      </c>
      <c r="I49" s="8" t="s">
        <v>9</v>
      </c>
      <c r="J49" s="8">
        <v>1724617</v>
      </c>
      <c r="K49" s="8">
        <v>10</v>
      </c>
      <c r="L49" s="8">
        <v>9.4700000000000006</v>
      </c>
      <c r="M49" s="8">
        <v>1361.01</v>
      </c>
      <c r="N49" s="8" t="s">
        <v>8</v>
      </c>
      <c r="O49" s="8" t="s">
        <v>22</v>
      </c>
      <c r="P49" s="9">
        <v>45407</v>
      </c>
      <c r="Q49" s="8" t="s">
        <v>43</v>
      </c>
      <c r="R49" s="10">
        <v>0</v>
      </c>
    </row>
    <row r="50" spans="1:18" x14ac:dyDescent="0.3">
      <c r="A50" s="7" t="s">
        <v>84</v>
      </c>
      <c r="B50" s="8" t="s">
        <v>24</v>
      </c>
      <c r="C50" s="8">
        <v>29</v>
      </c>
      <c r="D50" s="8" t="s">
        <v>34</v>
      </c>
      <c r="E50" s="8" t="s">
        <v>7</v>
      </c>
      <c r="F50" s="8">
        <v>91763</v>
      </c>
      <c r="G50" s="8" t="s">
        <v>8</v>
      </c>
      <c r="H50" s="8">
        <v>582</v>
      </c>
      <c r="I50" s="8" t="s">
        <v>16</v>
      </c>
      <c r="J50" s="8">
        <v>1715762</v>
      </c>
      <c r="K50" s="8">
        <v>5</v>
      </c>
      <c r="L50" s="8">
        <v>13.79</v>
      </c>
      <c r="M50" s="8">
        <v>3943.39</v>
      </c>
      <c r="N50" s="8" t="s">
        <v>8</v>
      </c>
      <c r="O50" s="8" t="s">
        <v>11</v>
      </c>
      <c r="P50" s="9">
        <v>44985</v>
      </c>
      <c r="Q50" s="8" t="s">
        <v>12</v>
      </c>
      <c r="R50" s="10">
        <v>0</v>
      </c>
    </row>
    <row r="51" spans="1:18" x14ac:dyDescent="0.3">
      <c r="A51" s="7" t="s">
        <v>85</v>
      </c>
      <c r="B51" s="8" t="s">
        <v>20</v>
      </c>
      <c r="C51" s="8">
        <v>59</v>
      </c>
      <c r="D51" s="8" t="s">
        <v>31</v>
      </c>
      <c r="E51" s="8" t="s">
        <v>21</v>
      </c>
      <c r="F51" s="8">
        <v>39410</v>
      </c>
      <c r="G51" s="8" t="s">
        <v>25</v>
      </c>
      <c r="H51" s="8">
        <v>562</v>
      </c>
      <c r="I51" s="8" t="s">
        <v>16</v>
      </c>
      <c r="J51" s="8">
        <v>662004</v>
      </c>
      <c r="K51" s="8">
        <v>5</v>
      </c>
      <c r="L51" s="8">
        <v>13.1</v>
      </c>
      <c r="M51" s="8">
        <v>1445.38</v>
      </c>
      <c r="N51" s="8" t="s">
        <v>42</v>
      </c>
      <c r="O51" s="8" t="s">
        <v>28</v>
      </c>
      <c r="P51" s="9">
        <v>45071</v>
      </c>
      <c r="Q51" s="8" t="s">
        <v>43</v>
      </c>
      <c r="R51" s="10">
        <v>0</v>
      </c>
    </row>
    <row r="52" spans="1:18" x14ac:dyDescent="0.3">
      <c r="A52" s="7" t="s">
        <v>86</v>
      </c>
      <c r="B52" s="8" t="s">
        <v>33</v>
      </c>
      <c r="C52" s="8">
        <v>36</v>
      </c>
      <c r="D52" s="8" t="s">
        <v>6</v>
      </c>
      <c r="E52" s="8" t="s">
        <v>7</v>
      </c>
      <c r="F52" s="8">
        <v>68608</v>
      </c>
      <c r="G52" s="8" t="s">
        <v>25</v>
      </c>
      <c r="H52" s="8">
        <v>421</v>
      </c>
      <c r="I52" s="8" t="s">
        <v>9</v>
      </c>
      <c r="J52" s="8">
        <v>1547704</v>
      </c>
      <c r="K52" s="8">
        <v>20</v>
      </c>
      <c r="L52" s="8">
        <v>11.75</v>
      </c>
      <c r="M52" s="8">
        <v>757.73</v>
      </c>
      <c r="N52" s="8" t="s">
        <v>27</v>
      </c>
      <c r="O52" s="8" t="s">
        <v>11</v>
      </c>
      <c r="P52" s="9">
        <v>45285</v>
      </c>
      <c r="Q52" s="8" t="s">
        <v>12</v>
      </c>
      <c r="R52" s="10">
        <v>0</v>
      </c>
    </row>
    <row r="53" spans="1:18" x14ac:dyDescent="0.3">
      <c r="A53" s="7" t="s">
        <v>87</v>
      </c>
      <c r="B53" s="8" t="s">
        <v>36</v>
      </c>
      <c r="C53" s="8">
        <v>59</v>
      </c>
      <c r="D53" s="8" t="s">
        <v>31</v>
      </c>
      <c r="E53" s="8" t="s">
        <v>21</v>
      </c>
      <c r="F53" s="8">
        <v>146179</v>
      </c>
      <c r="G53" s="8" t="s">
        <v>8</v>
      </c>
      <c r="H53" s="8">
        <v>414</v>
      </c>
      <c r="I53" s="8" t="s">
        <v>9</v>
      </c>
      <c r="J53" s="8">
        <v>579292</v>
      </c>
      <c r="K53" s="8">
        <v>5</v>
      </c>
      <c r="L53" s="8">
        <v>10.43</v>
      </c>
      <c r="M53" s="8">
        <v>1007</v>
      </c>
      <c r="N53" s="8" t="s">
        <v>10</v>
      </c>
      <c r="O53" s="8" t="s">
        <v>11</v>
      </c>
      <c r="P53" s="9">
        <v>44759</v>
      </c>
      <c r="Q53" s="8" t="s">
        <v>12</v>
      </c>
      <c r="R53" s="10">
        <v>0</v>
      </c>
    </row>
    <row r="54" spans="1:18" x14ac:dyDescent="0.3">
      <c r="A54" s="7" t="s">
        <v>88</v>
      </c>
      <c r="B54" s="8" t="s">
        <v>39</v>
      </c>
      <c r="C54" s="8">
        <v>27</v>
      </c>
      <c r="D54" s="8" t="s">
        <v>34</v>
      </c>
      <c r="E54" s="8" t="s">
        <v>7</v>
      </c>
      <c r="F54" s="8">
        <v>34673</v>
      </c>
      <c r="G54" s="8" t="s">
        <v>8</v>
      </c>
      <c r="H54" s="8">
        <v>679</v>
      </c>
      <c r="I54" s="8" t="s">
        <v>16</v>
      </c>
      <c r="J54" s="8">
        <v>1016879</v>
      </c>
      <c r="K54" s="8">
        <v>10</v>
      </c>
      <c r="L54" s="8">
        <v>7.59</v>
      </c>
      <c r="M54" s="8">
        <v>643.17999999999995</v>
      </c>
      <c r="N54" s="8" t="s">
        <v>27</v>
      </c>
      <c r="O54" s="8" t="s">
        <v>22</v>
      </c>
      <c r="P54" s="9">
        <v>45399</v>
      </c>
      <c r="Q54" s="8" t="s">
        <v>43</v>
      </c>
      <c r="R54" s="10">
        <v>0</v>
      </c>
    </row>
    <row r="55" spans="1:18" x14ac:dyDescent="0.3">
      <c r="A55" s="7" t="s">
        <v>89</v>
      </c>
      <c r="B55" s="8" t="s">
        <v>45</v>
      </c>
      <c r="C55" s="8">
        <v>28</v>
      </c>
      <c r="D55" s="8" t="s">
        <v>34</v>
      </c>
      <c r="E55" s="8" t="s">
        <v>21</v>
      </c>
      <c r="F55" s="8">
        <v>40552</v>
      </c>
      <c r="G55" s="8" t="s">
        <v>8</v>
      </c>
      <c r="H55" s="8">
        <v>633</v>
      </c>
      <c r="I55" s="8" t="s">
        <v>16</v>
      </c>
      <c r="J55" s="8">
        <v>813892</v>
      </c>
      <c r="K55" s="8">
        <v>10</v>
      </c>
      <c r="L55" s="8">
        <v>9.44</v>
      </c>
      <c r="M55" s="8">
        <v>640.26</v>
      </c>
      <c r="N55" s="8" t="s">
        <v>27</v>
      </c>
      <c r="O55" s="8" t="s">
        <v>28</v>
      </c>
      <c r="P55" s="9">
        <v>45372</v>
      </c>
      <c r="Q55" s="8" t="s">
        <v>29</v>
      </c>
      <c r="R55" s="10">
        <v>1</v>
      </c>
    </row>
    <row r="56" spans="1:18" x14ac:dyDescent="0.3">
      <c r="A56" s="7" t="s">
        <v>90</v>
      </c>
      <c r="B56" s="8" t="s">
        <v>20</v>
      </c>
      <c r="C56" s="8">
        <v>36</v>
      </c>
      <c r="D56" s="8" t="s">
        <v>6</v>
      </c>
      <c r="E56" s="8" t="s">
        <v>21</v>
      </c>
      <c r="F56" s="8">
        <v>100908</v>
      </c>
      <c r="G56" s="8" t="s">
        <v>15</v>
      </c>
      <c r="H56" s="8">
        <v>363</v>
      </c>
      <c r="I56" s="8" t="s">
        <v>9</v>
      </c>
      <c r="J56" s="8">
        <v>478151</v>
      </c>
      <c r="K56" s="8">
        <v>15</v>
      </c>
      <c r="L56" s="8">
        <v>8.82</v>
      </c>
      <c r="M56" s="8">
        <v>234.29</v>
      </c>
      <c r="N56" s="8" t="s">
        <v>10</v>
      </c>
      <c r="O56" s="8" t="s">
        <v>18</v>
      </c>
      <c r="P56" s="9">
        <v>44592</v>
      </c>
      <c r="Q56" s="8" t="s">
        <v>29</v>
      </c>
      <c r="R56" s="10">
        <v>1</v>
      </c>
    </row>
    <row r="57" spans="1:18" x14ac:dyDescent="0.3">
      <c r="A57" s="7" t="s">
        <v>91</v>
      </c>
      <c r="B57" s="8" t="s">
        <v>36</v>
      </c>
      <c r="C57" s="8">
        <v>22</v>
      </c>
      <c r="D57" s="8" t="s">
        <v>34</v>
      </c>
      <c r="E57" s="8" t="s">
        <v>7</v>
      </c>
      <c r="F57" s="8">
        <v>126411</v>
      </c>
      <c r="G57" s="8" t="s">
        <v>8</v>
      </c>
      <c r="H57" s="8">
        <v>530</v>
      </c>
      <c r="I57" s="8" t="s">
        <v>9</v>
      </c>
      <c r="J57" s="8">
        <v>1544603</v>
      </c>
      <c r="K57" s="8">
        <v>15</v>
      </c>
      <c r="L57" s="8">
        <v>10.18</v>
      </c>
      <c r="M57" s="8">
        <v>873.56</v>
      </c>
      <c r="N57" s="8" t="s">
        <v>17</v>
      </c>
      <c r="O57" s="8" t="s">
        <v>28</v>
      </c>
      <c r="P57" s="9">
        <v>44817</v>
      </c>
      <c r="Q57" s="8" t="s">
        <v>12</v>
      </c>
      <c r="R57" s="10">
        <v>0</v>
      </c>
    </row>
    <row r="58" spans="1:18" x14ac:dyDescent="0.3">
      <c r="A58" s="7" t="s">
        <v>92</v>
      </c>
      <c r="B58" s="8" t="s">
        <v>47</v>
      </c>
      <c r="C58" s="8">
        <v>31</v>
      </c>
      <c r="D58" s="8" t="s">
        <v>6</v>
      </c>
      <c r="E58" s="8" t="s">
        <v>21</v>
      </c>
      <c r="F58" s="8">
        <v>34536</v>
      </c>
      <c r="G58" s="8" t="s">
        <v>25</v>
      </c>
      <c r="H58" s="8">
        <v>372</v>
      </c>
      <c r="I58" s="8" t="s">
        <v>9</v>
      </c>
      <c r="J58" s="8">
        <v>1463730</v>
      </c>
      <c r="K58" s="8">
        <v>15</v>
      </c>
      <c r="L58" s="8">
        <v>12.85</v>
      </c>
      <c r="M58" s="8">
        <v>1044.94</v>
      </c>
      <c r="N58" s="8" t="s">
        <v>17</v>
      </c>
      <c r="O58" s="8" t="s">
        <v>28</v>
      </c>
      <c r="P58" s="9">
        <v>45207</v>
      </c>
      <c r="Q58" s="8" t="s">
        <v>29</v>
      </c>
      <c r="R58" s="10">
        <v>1</v>
      </c>
    </row>
    <row r="59" spans="1:18" x14ac:dyDescent="0.3">
      <c r="A59" s="7" t="s">
        <v>93</v>
      </c>
      <c r="B59" s="8" t="s">
        <v>47</v>
      </c>
      <c r="C59" s="8">
        <v>63</v>
      </c>
      <c r="D59" s="8" t="s">
        <v>31</v>
      </c>
      <c r="E59" s="8" t="s">
        <v>21</v>
      </c>
      <c r="F59" s="8">
        <v>145272</v>
      </c>
      <c r="G59" s="8" t="s">
        <v>8</v>
      </c>
      <c r="H59" s="8">
        <v>798</v>
      </c>
      <c r="I59" s="8" t="s">
        <v>40</v>
      </c>
      <c r="J59" s="8">
        <v>884671</v>
      </c>
      <c r="K59" s="8">
        <v>15</v>
      </c>
      <c r="L59" s="8">
        <v>7.91</v>
      </c>
      <c r="M59" s="8">
        <v>388.76</v>
      </c>
      <c r="N59" s="8" t="s">
        <v>8</v>
      </c>
      <c r="O59" s="8" t="s">
        <v>28</v>
      </c>
      <c r="P59" s="9">
        <v>45341</v>
      </c>
      <c r="Q59" s="8" t="s">
        <v>12</v>
      </c>
      <c r="R59" s="10">
        <v>0</v>
      </c>
    </row>
    <row r="60" spans="1:18" x14ac:dyDescent="0.3">
      <c r="A60" s="7" t="s">
        <v>94</v>
      </c>
      <c r="B60" s="8" t="s">
        <v>36</v>
      </c>
      <c r="C60" s="8">
        <v>49</v>
      </c>
      <c r="D60" s="8" t="s">
        <v>31</v>
      </c>
      <c r="E60" s="8" t="s">
        <v>21</v>
      </c>
      <c r="F60" s="8">
        <v>133471</v>
      </c>
      <c r="G60" s="8" t="s">
        <v>15</v>
      </c>
      <c r="H60" s="8">
        <v>437</v>
      </c>
      <c r="I60" s="8" t="s">
        <v>9</v>
      </c>
      <c r="J60" s="8">
        <v>1003966</v>
      </c>
      <c r="K60" s="8">
        <v>10</v>
      </c>
      <c r="L60" s="8">
        <v>7.41</v>
      </c>
      <c r="M60" s="8">
        <v>619.95000000000005</v>
      </c>
      <c r="N60" s="8" t="s">
        <v>8</v>
      </c>
      <c r="O60" s="8" t="s">
        <v>18</v>
      </c>
      <c r="P60" s="9">
        <v>44773</v>
      </c>
      <c r="Q60" s="8" t="s">
        <v>29</v>
      </c>
      <c r="R60" s="10">
        <v>1</v>
      </c>
    </row>
    <row r="61" spans="1:18" x14ac:dyDescent="0.3">
      <c r="A61" s="7" t="s">
        <v>95</v>
      </c>
      <c r="B61" s="8" t="s">
        <v>5</v>
      </c>
      <c r="C61" s="8">
        <v>21</v>
      </c>
      <c r="D61" s="8" t="s">
        <v>34</v>
      </c>
      <c r="E61" s="8" t="s">
        <v>21</v>
      </c>
      <c r="F61" s="8">
        <v>28653</v>
      </c>
      <c r="G61" s="8" t="s">
        <v>15</v>
      </c>
      <c r="H61" s="8">
        <v>501</v>
      </c>
      <c r="I61" s="8" t="s">
        <v>9</v>
      </c>
      <c r="J61" s="8">
        <v>1714641</v>
      </c>
      <c r="K61" s="8">
        <v>15</v>
      </c>
      <c r="L61" s="8">
        <v>13.59</v>
      </c>
      <c r="M61" s="8">
        <v>1294.55</v>
      </c>
      <c r="N61" s="8" t="s">
        <v>8</v>
      </c>
      <c r="O61" s="8" t="s">
        <v>22</v>
      </c>
      <c r="P61" s="9">
        <v>44698</v>
      </c>
      <c r="Q61" s="8" t="s">
        <v>12</v>
      </c>
      <c r="R61" s="10">
        <v>0</v>
      </c>
    </row>
    <row r="62" spans="1:18" x14ac:dyDescent="0.3">
      <c r="A62" s="7" t="s">
        <v>96</v>
      </c>
      <c r="B62" s="8" t="s">
        <v>52</v>
      </c>
      <c r="C62" s="8">
        <v>52</v>
      </c>
      <c r="D62" s="8" t="s">
        <v>31</v>
      </c>
      <c r="E62" s="8" t="s">
        <v>7</v>
      </c>
      <c r="F62" s="8">
        <v>49753</v>
      </c>
      <c r="G62" s="8" t="s">
        <v>15</v>
      </c>
      <c r="H62" s="8">
        <v>830</v>
      </c>
      <c r="I62" s="8" t="s">
        <v>40</v>
      </c>
      <c r="J62" s="8">
        <v>1168286</v>
      </c>
      <c r="K62" s="8">
        <v>5</v>
      </c>
      <c r="L62" s="8">
        <v>13.54</v>
      </c>
      <c r="M62" s="8">
        <v>2636.43</v>
      </c>
      <c r="N62" s="8" t="s">
        <v>42</v>
      </c>
      <c r="O62" s="8" t="s">
        <v>18</v>
      </c>
      <c r="P62" s="9">
        <v>44611</v>
      </c>
      <c r="Q62" s="8" t="s">
        <v>12</v>
      </c>
      <c r="R62" s="10">
        <v>0</v>
      </c>
    </row>
    <row r="63" spans="1:18" x14ac:dyDescent="0.3">
      <c r="A63" s="7" t="s">
        <v>97</v>
      </c>
      <c r="B63" s="8" t="s">
        <v>47</v>
      </c>
      <c r="C63" s="8">
        <v>54</v>
      </c>
      <c r="D63" s="8" t="s">
        <v>31</v>
      </c>
      <c r="E63" s="8" t="s">
        <v>7</v>
      </c>
      <c r="F63" s="8">
        <v>95498</v>
      </c>
      <c r="G63" s="8" t="s">
        <v>8</v>
      </c>
      <c r="H63" s="8">
        <v>369</v>
      </c>
      <c r="I63" s="8" t="s">
        <v>9</v>
      </c>
      <c r="J63" s="8">
        <v>1408495</v>
      </c>
      <c r="K63" s="8">
        <v>5</v>
      </c>
      <c r="L63" s="8">
        <v>14.56</v>
      </c>
      <c r="M63" s="8">
        <v>3417.95</v>
      </c>
      <c r="N63" s="8" t="s">
        <v>27</v>
      </c>
      <c r="O63" s="8" t="s">
        <v>18</v>
      </c>
      <c r="P63" s="9">
        <v>45210</v>
      </c>
      <c r="Q63" s="8" t="s">
        <v>43</v>
      </c>
      <c r="R63" s="10">
        <v>0</v>
      </c>
    </row>
    <row r="64" spans="1:18" x14ac:dyDescent="0.3">
      <c r="A64" s="7" t="s">
        <v>98</v>
      </c>
      <c r="B64" s="8" t="s">
        <v>14</v>
      </c>
      <c r="C64" s="8">
        <v>28</v>
      </c>
      <c r="D64" s="8" t="s">
        <v>34</v>
      </c>
      <c r="E64" s="8" t="s">
        <v>7</v>
      </c>
      <c r="F64" s="8">
        <v>149700</v>
      </c>
      <c r="G64" s="8" t="s">
        <v>8</v>
      </c>
      <c r="H64" s="8">
        <v>527</v>
      </c>
      <c r="I64" s="8" t="s">
        <v>9</v>
      </c>
      <c r="J64" s="8">
        <v>841633</v>
      </c>
      <c r="K64" s="8">
        <v>10</v>
      </c>
      <c r="L64" s="8">
        <v>12.12</v>
      </c>
      <c r="M64" s="8">
        <v>850.05</v>
      </c>
      <c r="N64" s="8" t="s">
        <v>17</v>
      </c>
      <c r="O64" s="8" t="s">
        <v>28</v>
      </c>
      <c r="P64" s="9">
        <v>44788</v>
      </c>
      <c r="Q64" s="8" t="s">
        <v>12</v>
      </c>
      <c r="R64" s="10">
        <v>0</v>
      </c>
    </row>
    <row r="65" spans="1:18" x14ac:dyDescent="0.3">
      <c r="A65" s="7" t="s">
        <v>99</v>
      </c>
      <c r="B65" s="8" t="s">
        <v>5</v>
      </c>
      <c r="C65" s="8">
        <v>59</v>
      </c>
      <c r="D65" s="8" t="s">
        <v>31</v>
      </c>
      <c r="E65" s="8" t="s">
        <v>21</v>
      </c>
      <c r="F65" s="8">
        <v>73571</v>
      </c>
      <c r="G65" s="8" t="s">
        <v>8</v>
      </c>
      <c r="H65" s="8">
        <v>310</v>
      </c>
      <c r="I65" s="8" t="s">
        <v>9</v>
      </c>
      <c r="J65" s="8">
        <v>243813</v>
      </c>
      <c r="K65" s="8">
        <v>10</v>
      </c>
      <c r="L65" s="8">
        <v>8.9600000000000009</v>
      </c>
      <c r="M65" s="8">
        <v>182.05</v>
      </c>
      <c r="N65" s="8" t="s">
        <v>42</v>
      </c>
      <c r="O65" s="8" t="s">
        <v>11</v>
      </c>
      <c r="P65" s="9">
        <v>44829</v>
      </c>
      <c r="Q65" s="8" t="s">
        <v>12</v>
      </c>
      <c r="R65" s="10">
        <v>0</v>
      </c>
    </row>
    <row r="66" spans="1:18" x14ac:dyDescent="0.3">
      <c r="A66" s="7" t="s">
        <v>100</v>
      </c>
      <c r="B66" s="8" t="s">
        <v>33</v>
      </c>
      <c r="C66" s="8">
        <v>65</v>
      </c>
      <c r="D66" s="8" t="s">
        <v>31</v>
      </c>
      <c r="E66" s="8" t="s">
        <v>7</v>
      </c>
      <c r="F66" s="8">
        <v>78800</v>
      </c>
      <c r="G66" s="8" t="s">
        <v>8</v>
      </c>
      <c r="H66" s="8">
        <v>342</v>
      </c>
      <c r="I66" s="8" t="s">
        <v>9</v>
      </c>
      <c r="J66" s="8">
        <v>1815053</v>
      </c>
      <c r="K66" s="8">
        <v>20</v>
      </c>
      <c r="L66" s="8">
        <v>9.3000000000000007</v>
      </c>
      <c r="M66" s="8">
        <v>703.33</v>
      </c>
      <c r="N66" s="8" t="s">
        <v>27</v>
      </c>
      <c r="O66" s="8" t="s">
        <v>18</v>
      </c>
      <c r="P66" s="9">
        <v>45012</v>
      </c>
      <c r="Q66" s="8" t="s">
        <v>29</v>
      </c>
      <c r="R66" s="10">
        <v>1</v>
      </c>
    </row>
    <row r="67" spans="1:18" x14ac:dyDescent="0.3">
      <c r="A67" s="7" t="s">
        <v>101</v>
      </c>
      <c r="B67" s="8" t="s">
        <v>24</v>
      </c>
      <c r="C67" s="8">
        <v>56</v>
      </c>
      <c r="D67" s="8" t="s">
        <v>31</v>
      </c>
      <c r="E67" s="8" t="s">
        <v>7</v>
      </c>
      <c r="F67" s="8">
        <v>134295</v>
      </c>
      <c r="G67" s="8" t="s">
        <v>8</v>
      </c>
      <c r="H67" s="8">
        <v>708</v>
      </c>
      <c r="I67" s="8" t="s">
        <v>40</v>
      </c>
      <c r="J67" s="8">
        <v>1574719</v>
      </c>
      <c r="K67" s="8">
        <v>5</v>
      </c>
      <c r="L67" s="8">
        <v>14.7</v>
      </c>
      <c r="M67" s="8">
        <v>3858.06</v>
      </c>
      <c r="N67" s="8" t="s">
        <v>10</v>
      </c>
      <c r="O67" s="8" t="s">
        <v>22</v>
      </c>
      <c r="P67" s="9">
        <v>45277</v>
      </c>
      <c r="Q67" s="8" t="s">
        <v>43</v>
      </c>
      <c r="R67" s="10">
        <v>0</v>
      </c>
    </row>
    <row r="68" spans="1:18" x14ac:dyDescent="0.3">
      <c r="A68" s="7" t="s">
        <v>102</v>
      </c>
      <c r="B68" s="8" t="s">
        <v>45</v>
      </c>
      <c r="C68" s="8">
        <v>58</v>
      </c>
      <c r="D68" s="8" t="s">
        <v>31</v>
      </c>
      <c r="E68" s="8" t="s">
        <v>21</v>
      </c>
      <c r="F68" s="8">
        <v>125993</v>
      </c>
      <c r="G68" s="8" t="s">
        <v>15</v>
      </c>
      <c r="H68" s="8">
        <v>458</v>
      </c>
      <c r="I68" s="8" t="s">
        <v>9</v>
      </c>
      <c r="J68" s="8">
        <v>1623754</v>
      </c>
      <c r="K68" s="8">
        <v>15</v>
      </c>
      <c r="L68" s="8">
        <v>9.1300000000000008</v>
      </c>
      <c r="M68" s="8">
        <v>823.6</v>
      </c>
      <c r="N68" s="8" t="s">
        <v>42</v>
      </c>
      <c r="O68" s="8" t="s">
        <v>11</v>
      </c>
      <c r="P68" s="9">
        <v>45379</v>
      </c>
      <c r="Q68" s="8" t="s">
        <v>29</v>
      </c>
      <c r="R68" s="10">
        <v>1</v>
      </c>
    </row>
    <row r="69" spans="1:18" x14ac:dyDescent="0.3">
      <c r="A69" s="7" t="s">
        <v>103</v>
      </c>
      <c r="B69" s="8" t="s">
        <v>36</v>
      </c>
      <c r="C69" s="8">
        <v>55</v>
      </c>
      <c r="D69" s="8" t="s">
        <v>31</v>
      </c>
      <c r="E69" s="8" t="s">
        <v>7</v>
      </c>
      <c r="F69" s="8">
        <v>71356</v>
      </c>
      <c r="G69" s="8" t="s">
        <v>8</v>
      </c>
      <c r="H69" s="8">
        <v>361</v>
      </c>
      <c r="I69" s="8" t="s">
        <v>9</v>
      </c>
      <c r="J69" s="8">
        <v>159094</v>
      </c>
      <c r="K69" s="8">
        <v>10</v>
      </c>
      <c r="L69" s="8">
        <v>13.52</v>
      </c>
      <c r="M69" s="8">
        <v>179.25</v>
      </c>
      <c r="N69" s="8" t="s">
        <v>42</v>
      </c>
      <c r="O69" s="8" t="s">
        <v>28</v>
      </c>
      <c r="P69" s="9">
        <v>44656</v>
      </c>
      <c r="Q69" s="8" t="s">
        <v>12</v>
      </c>
      <c r="R69" s="10">
        <v>0</v>
      </c>
    </row>
    <row r="70" spans="1:18" x14ac:dyDescent="0.3">
      <c r="A70" s="7" t="s">
        <v>104</v>
      </c>
      <c r="B70" s="8" t="s">
        <v>39</v>
      </c>
      <c r="C70" s="8">
        <v>56</v>
      </c>
      <c r="D70" s="8" t="s">
        <v>31</v>
      </c>
      <c r="E70" s="8" t="s">
        <v>21</v>
      </c>
      <c r="F70" s="8">
        <v>39738</v>
      </c>
      <c r="G70" s="8" t="s">
        <v>15</v>
      </c>
      <c r="H70" s="8">
        <v>547</v>
      </c>
      <c r="I70" s="8" t="s">
        <v>9</v>
      </c>
      <c r="J70" s="8">
        <v>1828809</v>
      </c>
      <c r="K70" s="8">
        <v>15</v>
      </c>
      <c r="L70" s="8">
        <v>7.19</v>
      </c>
      <c r="M70" s="8">
        <v>730.51</v>
      </c>
      <c r="N70" s="8" t="s">
        <v>10</v>
      </c>
      <c r="O70" s="8" t="s">
        <v>11</v>
      </c>
      <c r="P70" s="9">
        <v>44741</v>
      </c>
      <c r="Q70" s="8" t="s">
        <v>12</v>
      </c>
      <c r="R70" s="10">
        <v>0</v>
      </c>
    </row>
    <row r="71" spans="1:18" x14ac:dyDescent="0.3">
      <c r="A71" s="7" t="s">
        <v>105</v>
      </c>
      <c r="B71" s="8" t="s">
        <v>24</v>
      </c>
      <c r="C71" s="8">
        <v>53</v>
      </c>
      <c r="D71" s="8" t="s">
        <v>31</v>
      </c>
      <c r="E71" s="8" t="s">
        <v>21</v>
      </c>
      <c r="F71" s="8">
        <v>52157</v>
      </c>
      <c r="G71" s="8" t="s">
        <v>15</v>
      </c>
      <c r="H71" s="8">
        <v>307</v>
      </c>
      <c r="I71" s="8" t="s">
        <v>9</v>
      </c>
      <c r="J71" s="8">
        <v>886959</v>
      </c>
      <c r="K71" s="8">
        <v>20</v>
      </c>
      <c r="L71" s="8">
        <v>14.63</v>
      </c>
      <c r="M71" s="8">
        <v>540.67999999999995</v>
      </c>
      <c r="N71" s="8" t="s">
        <v>27</v>
      </c>
      <c r="O71" s="8" t="s">
        <v>28</v>
      </c>
      <c r="P71" s="9">
        <v>45082</v>
      </c>
      <c r="Q71" s="8" t="s">
        <v>29</v>
      </c>
      <c r="R71" s="10">
        <v>1</v>
      </c>
    </row>
    <row r="72" spans="1:18" x14ac:dyDescent="0.3">
      <c r="A72" s="7" t="s">
        <v>106</v>
      </c>
      <c r="B72" s="8" t="s">
        <v>45</v>
      </c>
      <c r="C72" s="8">
        <v>64</v>
      </c>
      <c r="D72" s="8" t="s">
        <v>31</v>
      </c>
      <c r="E72" s="8" t="s">
        <v>21</v>
      </c>
      <c r="F72" s="8">
        <v>47737</v>
      </c>
      <c r="G72" s="8" t="s">
        <v>25</v>
      </c>
      <c r="H72" s="8">
        <v>470</v>
      </c>
      <c r="I72" s="8" t="s">
        <v>9</v>
      </c>
      <c r="J72" s="8">
        <v>1534986</v>
      </c>
      <c r="K72" s="8">
        <v>15</v>
      </c>
      <c r="L72" s="8">
        <v>9.68</v>
      </c>
      <c r="M72" s="8">
        <v>825.48</v>
      </c>
      <c r="N72" s="8" t="s">
        <v>8</v>
      </c>
      <c r="O72" s="8" t="s">
        <v>22</v>
      </c>
      <c r="P72" s="9">
        <v>44850</v>
      </c>
      <c r="Q72" s="8" t="s">
        <v>12</v>
      </c>
      <c r="R72" s="10">
        <v>0</v>
      </c>
    </row>
    <row r="73" spans="1:18" x14ac:dyDescent="0.3">
      <c r="A73" s="7" t="s">
        <v>107</v>
      </c>
      <c r="B73" s="8" t="s">
        <v>45</v>
      </c>
      <c r="C73" s="8">
        <v>45</v>
      </c>
      <c r="D73" s="8" t="s">
        <v>6</v>
      </c>
      <c r="E73" s="8" t="s">
        <v>21</v>
      </c>
      <c r="F73" s="8">
        <v>102191</v>
      </c>
      <c r="G73" s="8" t="s">
        <v>15</v>
      </c>
      <c r="H73" s="8">
        <v>477</v>
      </c>
      <c r="I73" s="8" t="s">
        <v>9</v>
      </c>
      <c r="J73" s="8">
        <v>1550956</v>
      </c>
      <c r="K73" s="8">
        <v>10</v>
      </c>
      <c r="L73" s="8">
        <v>12.73</v>
      </c>
      <c r="M73" s="8">
        <v>1645.31</v>
      </c>
      <c r="N73" s="8" t="s">
        <v>17</v>
      </c>
      <c r="O73" s="8" t="s">
        <v>11</v>
      </c>
      <c r="P73" s="9">
        <v>45069</v>
      </c>
      <c r="Q73" s="8" t="s">
        <v>12</v>
      </c>
      <c r="R73" s="10">
        <v>0</v>
      </c>
    </row>
    <row r="74" spans="1:18" x14ac:dyDescent="0.3">
      <c r="A74" s="7" t="s">
        <v>108</v>
      </c>
      <c r="B74" s="8" t="s">
        <v>47</v>
      </c>
      <c r="C74" s="8">
        <v>21</v>
      </c>
      <c r="D74" s="8" t="s">
        <v>34</v>
      </c>
      <c r="E74" s="8" t="s">
        <v>7</v>
      </c>
      <c r="F74" s="8">
        <v>84810</v>
      </c>
      <c r="G74" s="8" t="s">
        <v>25</v>
      </c>
      <c r="H74" s="8">
        <v>643</v>
      </c>
      <c r="I74" s="8" t="s">
        <v>16</v>
      </c>
      <c r="J74" s="8">
        <v>1953698</v>
      </c>
      <c r="K74" s="8">
        <v>10</v>
      </c>
      <c r="L74" s="8">
        <v>11.67</v>
      </c>
      <c r="M74" s="8">
        <v>1899.97</v>
      </c>
      <c r="N74" s="8" t="s">
        <v>10</v>
      </c>
      <c r="O74" s="8" t="s">
        <v>28</v>
      </c>
      <c r="P74" s="9">
        <v>45300</v>
      </c>
      <c r="Q74" s="8" t="s">
        <v>29</v>
      </c>
      <c r="R74" s="10">
        <v>1</v>
      </c>
    </row>
    <row r="75" spans="1:18" x14ac:dyDescent="0.3">
      <c r="A75" s="7" t="s">
        <v>109</v>
      </c>
      <c r="B75" s="8" t="s">
        <v>52</v>
      </c>
      <c r="C75" s="8">
        <v>56</v>
      </c>
      <c r="D75" s="8" t="s">
        <v>31</v>
      </c>
      <c r="E75" s="8" t="s">
        <v>7</v>
      </c>
      <c r="F75" s="8">
        <v>99018</v>
      </c>
      <c r="G75" s="8" t="s">
        <v>25</v>
      </c>
      <c r="H75" s="8">
        <v>743</v>
      </c>
      <c r="I75" s="8" t="s">
        <v>40</v>
      </c>
      <c r="J75" s="8">
        <v>675189</v>
      </c>
      <c r="K75" s="8">
        <v>15</v>
      </c>
      <c r="L75" s="8">
        <v>8.35</v>
      </c>
      <c r="M75" s="8">
        <v>313.20999999999998</v>
      </c>
      <c r="N75" s="8" t="s">
        <v>10</v>
      </c>
      <c r="O75" s="8" t="s">
        <v>11</v>
      </c>
      <c r="P75" s="9">
        <v>44755</v>
      </c>
      <c r="Q75" s="8" t="s">
        <v>12</v>
      </c>
      <c r="R75" s="10">
        <v>0</v>
      </c>
    </row>
    <row r="76" spans="1:18" x14ac:dyDescent="0.3">
      <c r="A76" s="7" t="s">
        <v>110</v>
      </c>
      <c r="B76" s="8" t="s">
        <v>45</v>
      </c>
      <c r="C76" s="8">
        <v>28</v>
      </c>
      <c r="D76" s="8" t="s">
        <v>34</v>
      </c>
      <c r="E76" s="8" t="s">
        <v>21</v>
      </c>
      <c r="F76" s="8">
        <v>37626</v>
      </c>
      <c r="G76" s="8" t="s">
        <v>15</v>
      </c>
      <c r="H76" s="8">
        <v>430</v>
      </c>
      <c r="I76" s="8" t="s">
        <v>9</v>
      </c>
      <c r="J76" s="8">
        <v>909011</v>
      </c>
      <c r="K76" s="8">
        <v>15</v>
      </c>
      <c r="L76" s="8">
        <v>13.76</v>
      </c>
      <c r="M76" s="8">
        <v>694.89</v>
      </c>
      <c r="N76" s="8" t="s">
        <v>17</v>
      </c>
      <c r="O76" s="8" t="s">
        <v>22</v>
      </c>
      <c r="P76" s="9">
        <v>44631</v>
      </c>
      <c r="Q76" s="8" t="s">
        <v>12</v>
      </c>
      <c r="R76" s="10">
        <v>0</v>
      </c>
    </row>
    <row r="77" spans="1:18" x14ac:dyDescent="0.3">
      <c r="A77" s="7" t="s">
        <v>111</v>
      </c>
      <c r="B77" s="8" t="s">
        <v>5</v>
      </c>
      <c r="C77" s="8">
        <v>21</v>
      </c>
      <c r="D77" s="8" t="s">
        <v>34</v>
      </c>
      <c r="E77" s="8" t="s">
        <v>7</v>
      </c>
      <c r="F77" s="8">
        <v>56878</v>
      </c>
      <c r="G77" s="8" t="s">
        <v>8</v>
      </c>
      <c r="H77" s="8">
        <v>399</v>
      </c>
      <c r="I77" s="8" t="s">
        <v>9</v>
      </c>
      <c r="J77" s="8">
        <v>1376891</v>
      </c>
      <c r="K77" s="8">
        <v>5</v>
      </c>
      <c r="L77" s="8">
        <v>7.13</v>
      </c>
      <c r="M77" s="8">
        <v>1636.21</v>
      </c>
      <c r="N77" s="8" t="s">
        <v>8</v>
      </c>
      <c r="O77" s="8" t="s">
        <v>11</v>
      </c>
      <c r="P77" s="9">
        <v>44923</v>
      </c>
      <c r="Q77" s="8" t="s">
        <v>12</v>
      </c>
      <c r="R77" s="10">
        <v>0</v>
      </c>
    </row>
    <row r="78" spans="1:18" x14ac:dyDescent="0.3">
      <c r="A78" s="7" t="s">
        <v>112</v>
      </c>
      <c r="B78" s="8" t="s">
        <v>5</v>
      </c>
      <c r="C78" s="8">
        <v>44</v>
      </c>
      <c r="D78" s="8" t="s">
        <v>6</v>
      </c>
      <c r="E78" s="8" t="s">
        <v>21</v>
      </c>
      <c r="F78" s="8">
        <v>119473</v>
      </c>
      <c r="G78" s="8" t="s">
        <v>15</v>
      </c>
      <c r="H78" s="8">
        <v>824</v>
      </c>
      <c r="I78" s="8" t="s">
        <v>40</v>
      </c>
      <c r="J78" s="8">
        <v>1318996</v>
      </c>
      <c r="K78" s="8">
        <v>10</v>
      </c>
      <c r="L78" s="8">
        <v>10.75</v>
      </c>
      <c r="M78" s="8">
        <v>1181.5999999999999</v>
      </c>
      <c r="N78" s="8" t="s">
        <v>42</v>
      </c>
      <c r="O78" s="8" t="s">
        <v>11</v>
      </c>
      <c r="P78" s="9">
        <v>45444</v>
      </c>
      <c r="Q78" s="8" t="s">
        <v>12</v>
      </c>
      <c r="R78" s="10">
        <v>0</v>
      </c>
    </row>
    <row r="79" spans="1:18" x14ac:dyDescent="0.3">
      <c r="A79" s="7" t="s">
        <v>113</v>
      </c>
      <c r="B79" s="8" t="s">
        <v>14</v>
      </c>
      <c r="C79" s="8">
        <v>32</v>
      </c>
      <c r="D79" s="8" t="s">
        <v>6</v>
      </c>
      <c r="E79" s="8" t="s">
        <v>21</v>
      </c>
      <c r="F79" s="8">
        <v>124518</v>
      </c>
      <c r="G79" s="8" t="s">
        <v>25</v>
      </c>
      <c r="H79" s="8">
        <v>722</v>
      </c>
      <c r="I79" s="8" t="s">
        <v>40</v>
      </c>
      <c r="J79" s="8">
        <v>262705</v>
      </c>
      <c r="K79" s="8">
        <v>15</v>
      </c>
      <c r="L79" s="8">
        <v>7.7</v>
      </c>
      <c r="M79" s="8">
        <v>112.38</v>
      </c>
      <c r="N79" s="8" t="s">
        <v>42</v>
      </c>
      <c r="O79" s="8" t="s">
        <v>22</v>
      </c>
      <c r="P79" s="9">
        <v>45009</v>
      </c>
      <c r="Q79" s="8" t="s">
        <v>43</v>
      </c>
      <c r="R79" s="10">
        <v>0</v>
      </c>
    </row>
    <row r="80" spans="1:18" x14ac:dyDescent="0.3">
      <c r="A80" s="7" t="s">
        <v>114</v>
      </c>
      <c r="B80" s="8" t="s">
        <v>24</v>
      </c>
      <c r="C80" s="8">
        <v>52</v>
      </c>
      <c r="D80" s="8" t="s">
        <v>31</v>
      </c>
      <c r="E80" s="8" t="s">
        <v>7</v>
      </c>
      <c r="F80" s="8">
        <v>22879</v>
      </c>
      <c r="G80" s="8" t="s">
        <v>25</v>
      </c>
      <c r="H80" s="8">
        <v>455</v>
      </c>
      <c r="I80" s="8" t="s">
        <v>9</v>
      </c>
      <c r="J80" s="8">
        <v>618687</v>
      </c>
      <c r="K80" s="8">
        <v>15</v>
      </c>
      <c r="L80" s="8">
        <v>14.44</v>
      </c>
      <c r="M80" s="8">
        <v>496.32</v>
      </c>
      <c r="N80" s="8" t="s">
        <v>17</v>
      </c>
      <c r="O80" s="8" t="s">
        <v>18</v>
      </c>
      <c r="P80" s="9">
        <v>45265</v>
      </c>
      <c r="Q80" s="8" t="s">
        <v>29</v>
      </c>
      <c r="R80" s="10">
        <v>1</v>
      </c>
    </row>
    <row r="81" spans="1:18" x14ac:dyDescent="0.3">
      <c r="A81" s="7" t="s">
        <v>115</v>
      </c>
      <c r="B81" s="8" t="s">
        <v>39</v>
      </c>
      <c r="C81" s="8">
        <v>53</v>
      </c>
      <c r="D81" s="8" t="s">
        <v>31</v>
      </c>
      <c r="E81" s="8" t="s">
        <v>7</v>
      </c>
      <c r="F81" s="8">
        <v>28032</v>
      </c>
      <c r="G81" s="8" t="s">
        <v>15</v>
      </c>
      <c r="H81" s="8">
        <v>375</v>
      </c>
      <c r="I81" s="8" t="s">
        <v>9</v>
      </c>
      <c r="J81" s="8">
        <v>294518</v>
      </c>
      <c r="K81" s="8">
        <v>10</v>
      </c>
      <c r="L81" s="8">
        <v>8.26</v>
      </c>
      <c r="M81" s="8">
        <v>202.73</v>
      </c>
      <c r="N81" s="8" t="s">
        <v>10</v>
      </c>
      <c r="O81" s="8" t="s">
        <v>18</v>
      </c>
      <c r="P81" s="9">
        <v>45385</v>
      </c>
      <c r="Q81" s="8" t="s">
        <v>12</v>
      </c>
      <c r="R81" s="10">
        <v>0</v>
      </c>
    </row>
    <row r="82" spans="1:18" x14ac:dyDescent="0.3">
      <c r="A82" s="7" t="s">
        <v>116</v>
      </c>
      <c r="B82" s="8" t="s">
        <v>45</v>
      </c>
      <c r="C82" s="8">
        <v>57</v>
      </c>
      <c r="D82" s="8" t="s">
        <v>31</v>
      </c>
      <c r="E82" s="8" t="s">
        <v>7</v>
      </c>
      <c r="F82" s="8">
        <v>124160</v>
      </c>
      <c r="G82" s="8" t="s">
        <v>25</v>
      </c>
      <c r="H82" s="8">
        <v>814</v>
      </c>
      <c r="I82" s="8" t="s">
        <v>40</v>
      </c>
      <c r="J82" s="8">
        <v>794885</v>
      </c>
      <c r="K82" s="8">
        <v>15</v>
      </c>
      <c r="L82" s="8">
        <v>11.04</v>
      </c>
      <c r="M82" s="8">
        <v>487.53</v>
      </c>
      <c r="N82" s="8" t="s">
        <v>8</v>
      </c>
      <c r="O82" s="8" t="s">
        <v>11</v>
      </c>
      <c r="P82" s="9">
        <v>44921</v>
      </c>
      <c r="Q82" s="8" t="s">
        <v>12</v>
      </c>
      <c r="R82" s="10">
        <v>0</v>
      </c>
    </row>
    <row r="83" spans="1:18" x14ac:dyDescent="0.3">
      <c r="A83" s="7" t="s">
        <v>117</v>
      </c>
      <c r="B83" s="8" t="s">
        <v>24</v>
      </c>
      <c r="C83" s="8">
        <v>64</v>
      </c>
      <c r="D83" s="8" t="s">
        <v>31</v>
      </c>
      <c r="E83" s="8" t="s">
        <v>21</v>
      </c>
      <c r="F83" s="8">
        <v>126144</v>
      </c>
      <c r="G83" s="8" t="s">
        <v>25</v>
      </c>
      <c r="H83" s="8">
        <v>843</v>
      </c>
      <c r="I83" s="8" t="s">
        <v>40</v>
      </c>
      <c r="J83" s="8">
        <v>1338214</v>
      </c>
      <c r="K83" s="8">
        <v>20</v>
      </c>
      <c r="L83" s="8">
        <v>14.17</v>
      </c>
      <c r="M83" s="8">
        <v>790.1</v>
      </c>
      <c r="N83" s="8" t="s">
        <v>42</v>
      </c>
      <c r="O83" s="8" t="s">
        <v>28</v>
      </c>
      <c r="P83" s="9">
        <v>44696</v>
      </c>
      <c r="Q83" s="8" t="s">
        <v>12</v>
      </c>
      <c r="R83" s="10">
        <v>0</v>
      </c>
    </row>
    <row r="84" spans="1:18" x14ac:dyDescent="0.3">
      <c r="A84" s="7" t="s">
        <v>118</v>
      </c>
      <c r="B84" s="8" t="s">
        <v>14</v>
      </c>
      <c r="C84" s="8">
        <v>51</v>
      </c>
      <c r="D84" s="8" t="s">
        <v>31</v>
      </c>
      <c r="E84" s="8" t="s">
        <v>7</v>
      </c>
      <c r="F84" s="8">
        <v>68029</v>
      </c>
      <c r="G84" s="8" t="s">
        <v>8</v>
      </c>
      <c r="H84" s="8">
        <v>564</v>
      </c>
      <c r="I84" s="8" t="s">
        <v>16</v>
      </c>
      <c r="J84" s="8">
        <v>687846</v>
      </c>
      <c r="K84" s="8">
        <v>5</v>
      </c>
      <c r="L84" s="8">
        <v>8.0399999999999991</v>
      </c>
      <c r="M84" s="8">
        <v>921.71</v>
      </c>
      <c r="N84" s="8" t="s">
        <v>27</v>
      </c>
      <c r="O84" s="8" t="s">
        <v>11</v>
      </c>
      <c r="P84" s="9">
        <v>45120</v>
      </c>
      <c r="Q84" s="8" t="s">
        <v>43</v>
      </c>
      <c r="R84" s="10">
        <v>0</v>
      </c>
    </row>
    <row r="85" spans="1:18" x14ac:dyDescent="0.3">
      <c r="A85" s="7" t="s">
        <v>119</v>
      </c>
      <c r="B85" s="8" t="s">
        <v>36</v>
      </c>
      <c r="C85" s="8">
        <v>54</v>
      </c>
      <c r="D85" s="8" t="s">
        <v>31</v>
      </c>
      <c r="E85" s="8" t="s">
        <v>7</v>
      </c>
      <c r="F85" s="8">
        <v>46518</v>
      </c>
      <c r="G85" s="8" t="s">
        <v>8</v>
      </c>
      <c r="H85" s="8">
        <v>628</v>
      </c>
      <c r="I85" s="8" t="s">
        <v>16</v>
      </c>
      <c r="J85" s="8">
        <v>1735665</v>
      </c>
      <c r="K85" s="8">
        <v>5</v>
      </c>
      <c r="L85" s="8">
        <v>11.96</v>
      </c>
      <c r="M85" s="8">
        <v>3459.76</v>
      </c>
      <c r="N85" s="8" t="s">
        <v>10</v>
      </c>
      <c r="O85" s="8" t="s">
        <v>11</v>
      </c>
      <c r="P85" s="9">
        <v>45290</v>
      </c>
      <c r="Q85" s="8" t="s">
        <v>29</v>
      </c>
      <c r="R85" s="10">
        <v>1</v>
      </c>
    </row>
    <row r="86" spans="1:18" x14ac:dyDescent="0.3">
      <c r="A86" s="7" t="s">
        <v>120</v>
      </c>
      <c r="B86" s="8" t="s">
        <v>36</v>
      </c>
      <c r="C86" s="8">
        <v>35</v>
      </c>
      <c r="D86" s="8" t="s">
        <v>6</v>
      </c>
      <c r="E86" s="8" t="s">
        <v>21</v>
      </c>
      <c r="F86" s="8">
        <v>129079</v>
      </c>
      <c r="G86" s="8" t="s">
        <v>15</v>
      </c>
      <c r="H86" s="8">
        <v>680</v>
      </c>
      <c r="I86" s="8" t="s">
        <v>16</v>
      </c>
      <c r="J86" s="8">
        <v>1171806</v>
      </c>
      <c r="K86" s="8">
        <v>10</v>
      </c>
      <c r="L86" s="8">
        <v>8.74</v>
      </c>
      <c r="M86" s="8">
        <v>853.47</v>
      </c>
      <c r="N86" s="8" t="s">
        <v>10</v>
      </c>
      <c r="O86" s="8" t="s">
        <v>22</v>
      </c>
      <c r="P86" s="9">
        <v>45420</v>
      </c>
      <c r="Q86" s="8" t="s">
        <v>12</v>
      </c>
      <c r="R86" s="10">
        <v>0</v>
      </c>
    </row>
    <row r="87" spans="1:18" x14ac:dyDescent="0.3">
      <c r="A87" s="7" t="s">
        <v>121</v>
      </c>
      <c r="B87" s="8" t="s">
        <v>33</v>
      </c>
      <c r="C87" s="8">
        <v>51</v>
      </c>
      <c r="D87" s="8" t="s">
        <v>31</v>
      </c>
      <c r="E87" s="8" t="s">
        <v>7</v>
      </c>
      <c r="F87" s="8">
        <v>77989</v>
      </c>
      <c r="G87" s="8" t="s">
        <v>25</v>
      </c>
      <c r="H87" s="8">
        <v>555</v>
      </c>
      <c r="I87" s="8" t="s">
        <v>16</v>
      </c>
      <c r="J87" s="8">
        <v>277595</v>
      </c>
      <c r="K87" s="8">
        <v>15</v>
      </c>
      <c r="L87" s="8">
        <v>13.41</v>
      </c>
      <c r="M87" s="8">
        <v>206.81</v>
      </c>
      <c r="N87" s="8" t="s">
        <v>17</v>
      </c>
      <c r="O87" s="8" t="s">
        <v>28</v>
      </c>
      <c r="P87" s="9">
        <v>44684</v>
      </c>
      <c r="Q87" s="8" t="s">
        <v>12</v>
      </c>
      <c r="R87" s="10">
        <v>0</v>
      </c>
    </row>
    <row r="88" spans="1:18" x14ac:dyDescent="0.3">
      <c r="A88" s="7" t="s">
        <v>122</v>
      </c>
      <c r="B88" s="8" t="s">
        <v>45</v>
      </c>
      <c r="C88" s="8">
        <v>57</v>
      </c>
      <c r="D88" s="8" t="s">
        <v>31</v>
      </c>
      <c r="E88" s="8" t="s">
        <v>7</v>
      </c>
      <c r="F88" s="8">
        <v>130048</v>
      </c>
      <c r="G88" s="8" t="s">
        <v>25</v>
      </c>
      <c r="H88" s="8">
        <v>385</v>
      </c>
      <c r="I88" s="8" t="s">
        <v>9</v>
      </c>
      <c r="J88" s="8">
        <v>670031</v>
      </c>
      <c r="K88" s="8">
        <v>10</v>
      </c>
      <c r="L88" s="8">
        <v>12.68</v>
      </c>
      <c r="M88" s="8">
        <v>708</v>
      </c>
      <c r="N88" s="8" t="s">
        <v>17</v>
      </c>
      <c r="O88" s="8" t="s">
        <v>11</v>
      </c>
      <c r="P88" s="9">
        <v>44820</v>
      </c>
      <c r="Q88" s="8" t="s">
        <v>12</v>
      </c>
      <c r="R88" s="10">
        <v>0</v>
      </c>
    </row>
    <row r="89" spans="1:18" x14ac:dyDescent="0.3">
      <c r="A89" s="7" t="s">
        <v>123</v>
      </c>
      <c r="B89" s="8" t="s">
        <v>45</v>
      </c>
      <c r="C89" s="8">
        <v>27</v>
      </c>
      <c r="D89" s="8" t="s">
        <v>34</v>
      </c>
      <c r="E89" s="8" t="s">
        <v>7</v>
      </c>
      <c r="F89" s="8">
        <v>132047</v>
      </c>
      <c r="G89" s="8" t="s">
        <v>25</v>
      </c>
      <c r="H89" s="8">
        <v>503</v>
      </c>
      <c r="I89" s="8" t="s">
        <v>9</v>
      </c>
      <c r="J89" s="8">
        <v>1620270</v>
      </c>
      <c r="K89" s="8">
        <v>15</v>
      </c>
      <c r="L89" s="8">
        <v>10.91</v>
      </c>
      <c r="M89" s="8">
        <v>982.06</v>
      </c>
      <c r="N89" s="8" t="s">
        <v>10</v>
      </c>
      <c r="O89" s="8" t="s">
        <v>22</v>
      </c>
      <c r="P89" s="9">
        <v>44716</v>
      </c>
      <c r="Q89" s="8" t="s">
        <v>12</v>
      </c>
      <c r="R89" s="10">
        <v>0</v>
      </c>
    </row>
    <row r="90" spans="1:18" x14ac:dyDescent="0.3">
      <c r="A90" s="7" t="s">
        <v>124</v>
      </c>
      <c r="B90" s="8" t="s">
        <v>5</v>
      </c>
      <c r="C90" s="8">
        <v>27</v>
      </c>
      <c r="D90" s="8" t="s">
        <v>34</v>
      </c>
      <c r="E90" s="8" t="s">
        <v>7</v>
      </c>
      <c r="F90" s="8">
        <v>36530</v>
      </c>
      <c r="G90" s="8" t="s">
        <v>25</v>
      </c>
      <c r="H90" s="8">
        <v>666</v>
      </c>
      <c r="I90" s="8" t="s">
        <v>16</v>
      </c>
      <c r="J90" s="8">
        <v>1870361</v>
      </c>
      <c r="K90" s="8">
        <v>5</v>
      </c>
      <c r="L90" s="8">
        <v>14.55</v>
      </c>
      <c r="M90" s="8">
        <v>4535.63</v>
      </c>
      <c r="N90" s="8" t="s">
        <v>17</v>
      </c>
      <c r="O90" s="8" t="s">
        <v>18</v>
      </c>
      <c r="P90" s="9">
        <v>44854</v>
      </c>
      <c r="Q90" s="8" t="s">
        <v>43</v>
      </c>
      <c r="R90" s="10">
        <v>0</v>
      </c>
    </row>
    <row r="91" spans="1:18" x14ac:dyDescent="0.3">
      <c r="A91" s="7" t="s">
        <v>125</v>
      </c>
      <c r="B91" s="8" t="s">
        <v>47</v>
      </c>
      <c r="C91" s="8">
        <v>34</v>
      </c>
      <c r="D91" s="8" t="s">
        <v>6</v>
      </c>
      <c r="E91" s="8" t="s">
        <v>21</v>
      </c>
      <c r="F91" s="8">
        <v>82851</v>
      </c>
      <c r="G91" s="8" t="s">
        <v>25</v>
      </c>
      <c r="H91" s="8">
        <v>465</v>
      </c>
      <c r="I91" s="8" t="s">
        <v>9</v>
      </c>
      <c r="J91" s="8">
        <v>420636</v>
      </c>
      <c r="K91" s="8">
        <v>15</v>
      </c>
      <c r="L91" s="8">
        <v>13.97</v>
      </c>
      <c r="M91" s="8">
        <v>326.45999999999998</v>
      </c>
      <c r="N91" s="8" t="s">
        <v>17</v>
      </c>
      <c r="O91" s="8" t="s">
        <v>28</v>
      </c>
      <c r="P91" s="9">
        <v>45235</v>
      </c>
      <c r="Q91" s="8" t="s">
        <v>43</v>
      </c>
      <c r="R91" s="10">
        <v>0</v>
      </c>
    </row>
    <row r="92" spans="1:18" x14ac:dyDescent="0.3">
      <c r="A92" s="7" t="s">
        <v>126</v>
      </c>
      <c r="B92" s="8" t="s">
        <v>47</v>
      </c>
      <c r="C92" s="8">
        <v>34</v>
      </c>
      <c r="D92" s="8" t="s">
        <v>6</v>
      </c>
      <c r="E92" s="8" t="s">
        <v>21</v>
      </c>
      <c r="F92" s="8">
        <v>81031</v>
      </c>
      <c r="G92" s="8" t="s">
        <v>25</v>
      </c>
      <c r="H92" s="8">
        <v>597</v>
      </c>
      <c r="I92" s="8" t="s">
        <v>16</v>
      </c>
      <c r="J92" s="8">
        <v>710734</v>
      </c>
      <c r="K92" s="8">
        <v>5</v>
      </c>
      <c r="L92" s="8">
        <v>14.8</v>
      </c>
      <c r="M92" s="8">
        <v>1753.14</v>
      </c>
      <c r="N92" s="8" t="s">
        <v>42</v>
      </c>
      <c r="O92" s="8" t="s">
        <v>18</v>
      </c>
      <c r="P92" s="9">
        <v>45102</v>
      </c>
      <c r="Q92" s="8" t="s">
        <v>43</v>
      </c>
      <c r="R92" s="10">
        <v>0</v>
      </c>
    </row>
    <row r="93" spans="1:18" x14ac:dyDescent="0.3">
      <c r="A93" s="7" t="s">
        <v>127</v>
      </c>
      <c r="B93" s="8" t="s">
        <v>39</v>
      </c>
      <c r="C93" s="8">
        <v>42</v>
      </c>
      <c r="D93" s="8" t="s">
        <v>6</v>
      </c>
      <c r="E93" s="8" t="s">
        <v>21</v>
      </c>
      <c r="F93" s="8">
        <v>70132</v>
      </c>
      <c r="G93" s="8" t="s">
        <v>8</v>
      </c>
      <c r="H93" s="8">
        <v>349</v>
      </c>
      <c r="I93" s="8" t="s">
        <v>9</v>
      </c>
      <c r="J93" s="8">
        <v>1190240</v>
      </c>
      <c r="K93" s="8">
        <v>20</v>
      </c>
      <c r="L93" s="8">
        <v>12</v>
      </c>
      <c r="M93" s="8">
        <v>595.12</v>
      </c>
      <c r="N93" s="8" t="s">
        <v>10</v>
      </c>
      <c r="O93" s="8" t="s">
        <v>18</v>
      </c>
      <c r="P93" s="9">
        <v>44830</v>
      </c>
      <c r="Q93" s="8" t="s">
        <v>29</v>
      </c>
      <c r="R93" s="10">
        <v>1</v>
      </c>
    </row>
    <row r="94" spans="1:18" x14ac:dyDescent="0.3">
      <c r="A94" s="7" t="s">
        <v>128</v>
      </c>
      <c r="B94" s="8" t="s">
        <v>24</v>
      </c>
      <c r="C94" s="8">
        <v>21</v>
      </c>
      <c r="D94" s="8" t="s">
        <v>34</v>
      </c>
      <c r="E94" s="8" t="s">
        <v>7</v>
      </c>
      <c r="F94" s="8">
        <v>86816</v>
      </c>
      <c r="G94" s="8" t="s">
        <v>15</v>
      </c>
      <c r="H94" s="8">
        <v>417</v>
      </c>
      <c r="I94" s="8" t="s">
        <v>9</v>
      </c>
      <c r="J94" s="8">
        <v>772658</v>
      </c>
      <c r="K94" s="8">
        <v>5</v>
      </c>
      <c r="L94" s="8">
        <v>9.18</v>
      </c>
      <c r="M94" s="8">
        <v>1182.17</v>
      </c>
      <c r="N94" s="8" t="s">
        <v>27</v>
      </c>
      <c r="O94" s="8" t="s">
        <v>22</v>
      </c>
      <c r="P94" s="9">
        <v>44884</v>
      </c>
      <c r="Q94" s="8" t="s">
        <v>12</v>
      </c>
      <c r="R94" s="10">
        <v>0</v>
      </c>
    </row>
    <row r="95" spans="1:18" x14ac:dyDescent="0.3">
      <c r="A95" s="7" t="s">
        <v>129</v>
      </c>
      <c r="B95" s="8" t="s">
        <v>45</v>
      </c>
      <c r="C95" s="8">
        <v>33</v>
      </c>
      <c r="D95" s="8" t="s">
        <v>6</v>
      </c>
      <c r="E95" s="8" t="s">
        <v>7</v>
      </c>
      <c r="F95" s="8">
        <v>41887</v>
      </c>
      <c r="G95" s="8" t="s">
        <v>8</v>
      </c>
      <c r="H95" s="8">
        <v>493</v>
      </c>
      <c r="I95" s="8" t="s">
        <v>9</v>
      </c>
      <c r="J95" s="8">
        <v>1235975</v>
      </c>
      <c r="K95" s="8">
        <v>20</v>
      </c>
      <c r="L95" s="8">
        <v>7.93</v>
      </c>
      <c r="M95" s="8">
        <v>408.39</v>
      </c>
      <c r="N95" s="8" t="s">
        <v>42</v>
      </c>
      <c r="O95" s="8" t="s">
        <v>11</v>
      </c>
      <c r="P95" s="9">
        <v>44756</v>
      </c>
      <c r="Q95" s="8" t="s">
        <v>12</v>
      </c>
      <c r="R95" s="10">
        <v>0</v>
      </c>
    </row>
    <row r="96" spans="1:18" x14ac:dyDescent="0.3">
      <c r="A96" s="7" t="s">
        <v>130</v>
      </c>
      <c r="B96" s="8" t="s">
        <v>45</v>
      </c>
      <c r="C96" s="8">
        <v>35</v>
      </c>
      <c r="D96" s="8" t="s">
        <v>6</v>
      </c>
      <c r="E96" s="8" t="s">
        <v>7</v>
      </c>
      <c r="F96" s="8">
        <v>70325</v>
      </c>
      <c r="G96" s="8" t="s">
        <v>25</v>
      </c>
      <c r="H96" s="8">
        <v>348</v>
      </c>
      <c r="I96" s="8" t="s">
        <v>9</v>
      </c>
      <c r="J96" s="8">
        <v>1567934</v>
      </c>
      <c r="K96" s="8">
        <v>10</v>
      </c>
      <c r="L96" s="8">
        <v>9.3000000000000007</v>
      </c>
      <c r="M96" s="8">
        <v>1215.1500000000001</v>
      </c>
      <c r="N96" s="8" t="s">
        <v>8</v>
      </c>
      <c r="O96" s="8" t="s">
        <v>11</v>
      </c>
      <c r="P96" s="9">
        <v>45222</v>
      </c>
      <c r="Q96" s="8" t="s">
        <v>43</v>
      </c>
      <c r="R96" s="10">
        <v>0</v>
      </c>
    </row>
    <row r="97" spans="1:18" x14ac:dyDescent="0.3">
      <c r="A97" s="7" t="s">
        <v>131</v>
      </c>
      <c r="B97" s="8" t="s">
        <v>33</v>
      </c>
      <c r="C97" s="8">
        <v>26</v>
      </c>
      <c r="D97" s="8" t="s">
        <v>34</v>
      </c>
      <c r="E97" s="8" t="s">
        <v>21</v>
      </c>
      <c r="F97" s="8">
        <v>43941</v>
      </c>
      <c r="G97" s="8" t="s">
        <v>8</v>
      </c>
      <c r="H97" s="8">
        <v>551</v>
      </c>
      <c r="I97" s="8" t="s">
        <v>16</v>
      </c>
      <c r="J97" s="8">
        <v>1973368</v>
      </c>
      <c r="K97" s="8">
        <v>5</v>
      </c>
      <c r="L97" s="8">
        <v>14.23</v>
      </c>
      <c r="M97" s="8">
        <v>4680.17</v>
      </c>
      <c r="N97" s="8" t="s">
        <v>17</v>
      </c>
      <c r="O97" s="8" t="s">
        <v>18</v>
      </c>
      <c r="P97" s="9">
        <v>44751</v>
      </c>
      <c r="Q97" s="8" t="s">
        <v>43</v>
      </c>
      <c r="R97" s="10">
        <v>0</v>
      </c>
    </row>
    <row r="98" spans="1:18" x14ac:dyDescent="0.3">
      <c r="A98" s="7" t="s">
        <v>132</v>
      </c>
      <c r="B98" s="8" t="s">
        <v>45</v>
      </c>
      <c r="C98" s="8">
        <v>50</v>
      </c>
      <c r="D98" s="8" t="s">
        <v>31</v>
      </c>
      <c r="E98" s="8" t="s">
        <v>21</v>
      </c>
      <c r="F98" s="8">
        <v>86157</v>
      </c>
      <c r="G98" s="8" t="s">
        <v>25</v>
      </c>
      <c r="H98" s="8">
        <v>550</v>
      </c>
      <c r="I98" s="8" t="s">
        <v>16</v>
      </c>
      <c r="J98" s="8">
        <v>1137396</v>
      </c>
      <c r="K98" s="8">
        <v>5</v>
      </c>
      <c r="L98" s="8">
        <v>9.2100000000000009</v>
      </c>
      <c r="M98" s="8">
        <v>1745.9</v>
      </c>
      <c r="N98" s="8" t="s">
        <v>17</v>
      </c>
      <c r="O98" s="8" t="s">
        <v>22</v>
      </c>
      <c r="P98" s="9">
        <v>44730</v>
      </c>
      <c r="Q98" s="8" t="s">
        <v>29</v>
      </c>
      <c r="R98" s="10">
        <v>1</v>
      </c>
    </row>
    <row r="99" spans="1:18" x14ac:dyDescent="0.3">
      <c r="A99" s="7" t="s">
        <v>133</v>
      </c>
      <c r="B99" s="8" t="s">
        <v>39</v>
      </c>
      <c r="C99" s="8">
        <v>54</v>
      </c>
      <c r="D99" s="8" t="s">
        <v>31</v>
      </c>
      <c r="E99" s="8" t="s">
        <v>21</v>
      </c>
      <c r="F99" s="8">
        <v>91601</v>
      </c>
      <c r="G99" s="8" t="s">
        <v>8</v>
      </c>
      <c r="H99" s="8">
        <v>827</v>
      </c>
      <c r="I99" s="8" t="s">
        <v>40</v>
      </c>
      <c r="J99" s="8">
        <v>1883650</v>
      </c>
      <c r="K99" s="8">
        <v>10</v>
      </c>
      <c r="L99" s="8">
        <v>7.64</v>
      </c>
      <c r="M99" s="8">
        <v>1199.26</v>
      </c>
      <c r="N99" s="8" t="s">
        <v>10</v>
      </c>
      <c r="O99" s="8" t="s">
        <v>22</v>
      </c>
      <c r="P99" s="9">
        <v>44910</v>
      </c>
      <c r="Q99" s="8" t="s">
        <v>12</v>
      </c>
      <c r="R99" s="10">
        <v>0</v>
      </c>
    </row>
    <row r="100" spans="1:18" x14ac:dyDescent="0.3">
      <c r="A100" s="7" t="s">
        <v>134</v>
      </c>
      <c r="B100" s="8" t="s">
        <v>5</v>
      </c>
      <c r="C100" s="8">
        <v>34</v>
      </c>
      <c r="D100" s="8" t="s">
        <v>6</v>
      </c>
      <c r="E100" s="8" t="s">
        <v>7</v>
      </c>
      <c r="F100" s="8">
        <v>31144</v>
      </c>
      <c r="G100" s="8" t="s">
        <v>25</v>
      </c>
      <c r="H100" s="8">
        <v>554</v>
      </c>
      <c r="I100" s="8" t="s">
        <v>16</v>
      </c>
      <c r="J100" s="8">
        <v>1071719</v>
      </c>
      <c r="K100" s="8">
        <v>20</v>
      </c>
      <c r="L100" s="8">
        <v>12.89</v>
      </c>
      <c r="M100" s="8">
        <v>575.6</v>
      </c>
      <c r="N100" s="8" t="s">
        <v>42</v>
      </c>
      <c r="O100" s="8" t="s">
        <v>11</v>
      </c>
      <c r="P100" s="9">
        <v>45176</v>
      </c>
      <c r="Q100" s="8" t="s">
        <v>12</v>
      </c>
      <c r="R100" s="10">
        <v>0</v>
      </c>
    </row>
    <row r="101" spans="1:18" x14ac:dyDescent="0.3">
      <c r="A101" s="7" t="s">
        <v>135</v>
      </c>
      <c r="B101" s="8" t="s">
        <v>20</v>
      </c>
      <c r="C101" s="8">
        <v>55</v>
      </c>
      <c r="D101" s="8" t="s">
        <v>31</v>
      </c>
      <c r="E101" s="8" t="s">
        <v>7</v>
      </c>
      <c r="F101" s="8">
        <v>50213</v>
      </c>
      <c r="G101" s="8" t="s">
        <v>15</v>
      </c>
      <c r="H101" s="8">
        <v>771</v>
      </c>
      <c r="I101" s="8" t="s">
        <v>40</v>
      </c>
      <c r="J101" s="8">
        <v>490717</v>
      </c>
      <c r="K101" s="8">
        <v>10</v>
      </c>
      <c r="L101" s="8">
        <v>9.5</v>
      </c>
      <c r="M101" s="8">
        <v>388.48</v>
      </c>
      <c r="N101" s="8" t="s">
        <v>17</v>
      </c>
      <c r="O101" s="8" t="s">
        <v>28</v>
      </c>
      <c r="P101" s="9">
        <v>44961</v>
      </c>
      <c r="Q101" s="8" t="s">
        <v>29</v>
      </c>
      <c r="R101" s="10">
        <v>1</v>
      </c>
    </row>
    <row r="102" spans="1:18" x14ac:dyDescent="0.3">
      <c r="A102" s="7" t="s">
        <v>136</v>
      </c>
      <c r="B102" s="8" t="s">
        <v>45</v>
      </c>
      <c r="C102" s="8">
        <v>47</v>
      </c>
      <c r="D102" s="8" t="s">
        <v>31</v>
      </c>
      <c r="E102" s="8" t="s">
        <v>21</v>
      </c>
      <c r="F102" s="8">
        <v>148235</v>
      </c>
      <c r="G102" s="8" t="s">
        <v>8</v>
      </c>
      <c r="H102" s="8">
        <v>595</v>
      </c>
      <c r="I102" s="8" t="s">
        <v>16</v>
      </c>
      <c r="J102" s="8">
        <v>1408381</v>
      </c>
      <c r="K102" s="8">
        <v>20</v>
      </c>
      <c r="L102" s="8">
        <v>10.17</v>
      </c>
      <c r="M102" s="8">
        <v>596.79999999999995</v>
      </c>
      <c r="N102" s="8" t="s">
        <v>27</v>
      </c>
      <c r="O102" s="8" t="s">
        <v>18</v>
      </c>
      <c r="P102" s="9">
        <v>44991</v>
      </c>
      <c r="Q102" s="8" t="s">
        <v>12</v>
      </c>
      <c r="R102" s="10">
        <v>0</v>
      </c>
    </row>
    <row r="103" spans="1:18" x14ac:dyDescent="0.3">
      <c r="A103" s="7" t="s">
        <v>137</v>
      </c>
      <c r="B103" s="8" t="s">
        <v>39</v>
      </c>
      <c r="C103" s="8">
        <v>65</v>
      </c>
      <c r="D103" s="8" t="s">
        <v>31</v>
      </c>
      <c r="E103" s="8" t="s">
        <v>21</v>
      </c>
      <c r="F103" s="8">
        <v>100323</v>
      </c>
      <c r="G103" s="8" t="s">
        <v>25</v>
      </c>
      <c r="H103" s="8">
        <v>377</v>
      </c>
      <c r="I103" s="8" t="s">
        <v>9</v>
      </c>
      <c r="J103" s="8">
        <v>1754311</v>
      </c>
      <c r="K103" s="8">
        <v>10</v>
      </c>
      <c r="L103" s="8">
        <v>11.89</v>
      </c>
      <c r="M103" s="8">
        <v>1738.23</v>
      </c>
      <c r="N103" s="8" t="s">
        <v>27</v>
      </c>
      <c r="O103" s="8" t="s">
        <v>18</v>
      </c>
      <c r="P103" s="9">
        <v>45123</v>
      </c>
      <c r="Q103" s="8" t="s">
        <v>12</v>
      </c>
      <c r="R103" s="10">
        <v>0</v>
      </c>
    </row>
    <row r="104" spans="1:18" x14ac:dyDescent="0.3">
      <c r="A104" s="7" t="s">
        <v>138</v>
      </c>
      <c r="B104" s="8" t="s">
        <v>5</v>
      </c>
      <c r="C104" s="8">
        <v>58</v>
      </c>
      <c r="D104" s="8" t="s">
        <v>31</v>
      </c>
      <c r="E104" s="8" t="s">
        <v>21</v>
      </c>
      <c r="F104" s="8">
        <v>140509</v>
      </c>
      <c r="G104" s="8" t="s">
        <v>8</v>
      </c>
      <c r="H104" s="8">
        <v>762</v>
      </c>
      <c r="I104" s="8" t="s">
        <v>40</v>
      </c>
      <c r="J104" s="8">
        <v>1563279</v>
      </c>
      <c r="K104" s="8">
        <v>20</v>
      </c>
      <c r="L104" s="8">
        <v>12.37</v>
      </c>
      <c r="M104" s="8">
        <v>805.74</v>
      </c>
      <c r="N104" s="8" t="s">
        <v>27</v>
      </c>
      <c r="O104" s="8" t="s">
        <v>11</v>
      </c>
      <c r="P104" s="9">
        <v>45018</v>
      </c>
      <c r="Q104" s="8" t="s">
        <v>12</v>
      </c>
      <c r="R104" s="10">
        <v>0</v>
      </c>
    </row>
    <row r="105" spans="1:18" x14ac:dyDescent="0.3">
      <c r="A105" s="7" t="s">
        <v>139</v>
      </c>
      <c r="B105" s="8" t="s">
        <v>24</v>
      </c>
      <c r="C105" s="8">
        <v>59</v>
      </c>
      <c r="D105" s="8" t="s">
        <v>31</v>
      </c>
      <c r="E105" s="8" t="s">
        <v>21</v>
      </c>
      <c r="F105" s="8">
        <v>25882</v>
      </c>
      <c r="G105" s="8" t="s">
        <v>15</v>
      </c>
      <c r="H105" s="8">
        <v>508</v>
      </c>
      <c r="I105" s="8" t="s">
        <v>9</v>
      </c>
      <c r="J105" s="8">
        <v>1706959</v>
      </c>
      <c r="K105" s="8">
        <v>5</v>
      </c>
      <c r="L105" s="8">
        <v>13.52</v>
      </c>
      <c r="M105" s="8">
        <v>3846.35</v>
      </c>
      <c r="N105" s="8" t="s">
        <v>8</v>
      </c>
      <c r="O105" s="8" t="s">
        <v>22</v>
      </c>
      <c r="P105" s="9">
        <v>45134</v>
      </c>
      <c r="Q105" s="8" t="s">
        <v>12</v>
      </c>
      <c r="R105" s="10">
        <v>0</v>
      </c>
    </row>
    <row r="106" spans="1:18" x14ac:dyDescent="0.3">
      <c r="A106" s="7" t="s">
        <v>140</v>
      </c>
      <c r="B106" s="8" t="s">
        <v>47</v>
      </c>
      <c r="C106" s="8">
        <v>27</v>
      </c>
      <c r="D106" s="8" t="s">
        <v>34</v>
      </c>
      <c r="E106" s="8" t="s">
        <v>7</v>
      </c>
      <c r="F106" s="8">
        <v>69387</v>
      </c>
      <c r="G106" s="8" t="s">
        <v>15</v>
      </c>
      <c r="H106" s="8">
        <v>388</v>
      </c>
      <c r="I106" s="8" t="s">
        <v>9</v>
      </c>
      <c r="J106" s="8">
        <v>1760165</v>
      </c>
      <c r="K106" s="8">
        <v>10</v>
      </c>
      <c r="L106" s="8">
        <v>8.64</v>
      </c>
      <c r="M106" s="8">
        <v>1267.32</v>
      </c>
      <c r="N106" s="8" t="s">
        <v>17</v>
      </c>
      <c r="O106" s="8" t="s">
        <v>28</v>
      </c>
      <c r="P106" s="9">
        <v>44665</v>
      </c>
      <c r="Q106" s="8" t="s">
        <v>12</v>
      </c>
      <c r="R106" s="10">
        <v>0</v>
      </c>
    </row>
    <row r="107" spans="1:18" x14ac:dyDescent="0.3">
      <c r="A107" s="7" t="s">
        <v>141</v>
      </c>
      <c r="B107" s="8" t="s">
        <v>20</v>
      </c>
      <c r="C107" s="8">
        <v>47</v>
      </c>
      <c r="D107" s="8" t="s">
        <v>31</v>
      </c>
      <c r="E107" s="8" t="s">
        <v>21</v>
      </c>
      <c r="F107" s="8">
        <v>27926</v>
      </c>
      <c r="G107" s="8" t="s">
        <v>8</v>
      </c>
      <c r="H107" s="8">
        <v>422</v>
      </c>
      <c r="I107" s="8" t="s">
        <v>9</v>
      </c>
      <c r="J107" s="8">
        <v>1725958</v>
      </c>
      <c r="K107" s="8">
        <v>10</v>
      </c>
      <c r="L107" s="8">
        <v>10.8</v>
      </c>
      <c r="M107" s="8">
        <v>1553.36</v>
      </c>
      <c r="N107" s="8" t="s">
        <v>42</v>
      </c>
      <c r="O107" s="8" t="s">
        <v>11</v>
      </c>
      <c r="P107" s="9">
        <v>45186</v>
      </c>
      <c r="Q107" s="8" t="s">
        <v>29</v>
      </c>
      <c r="R107" s="10">
        <v>1</v>
      </c>
    </row>
    <row r="108" spans="1:18" x14ac:dyDescent="0.3">
      <c r="A108" s="7" t="s">
        <v>142</v>
      </c>
      <c r="B108" s="8" t="s">
        <v>24</v>
      </c>
      <c r="C108" s="8">
        <v>43</v>
      </c>
      <c r="D108" s="8" t="s">
        <v>6</v>
      </c>
      <c r="E108" s="8" t="s">
        <v>21</v>
      </c>
      <c r="F108" s="8">
        <v>46145</v>
      </c>
      <c r="G108" s="8" t="s">
        <v>15</v>
      </c>
      <c r="H108" s="8">
        <v>775</v>
      </c>
      <c r="I108" s="8" t="s">
        <v>40</v>
      </c>
      <c r="J108" s="8">
        <v>822524</v>
      </c>
      <c r="K108" s="8">
        <v>15</v>
      </c>
      <c r="L108" s="8">
        <v>11.38</v>
      </c>
      <c r="M108" s="8">
        <v>520.02</v>
      </c>
      <c r="N108" s="8" t="s">
        <v>42</v>
      </c>
      <c r="O108" s="8" t="s">
        <v>28</v>
      </c>
      <c r="P108" s="9">
        <v>44872</v>
      </c>
      <c r="Q108" s="8" t="s">
        <v>12</v>
      </c>
      <c r="R108" s="10">
        <v>0</v>
      </c>
    </row>
    <row r="109" spans="1:18" x14ac:dyDescent="0.3">
      <c r="A109" s="7" t="s">
        <v>143</v>
      </c>
      <c r="B109" s="8" t="s">
        <v>47</v>
      </c>
      <c r="C109" s="8">
        <v>27</v>
      </c>
      <c r="D109" s="8" t="s">
        <v>34</v>
      </c>
      <c r="E109" s="8" t="s">
        <v>21</v>
      </c>
      <c r="F109" s="8">
        <v>142744</v>
      </c>
      <c r="G109" s="8" t="s">
        <v>25</v>
      </c>
      <c r="H109" s="8">
        <v>346</v>
      </c>
      <c r="I109" s="8" t="s">
        <v>9</v>
      </c>
      <c r="J109" s="8">
        <v>1448464</v>
      </c>
      <c r="K109" s="8">
        <v>15</v>
      </c>
      <c r="L109" s="8">
        <v>7.75</v>
      </c>
      <c r="M109" s="8">
        <v>623.64</v>
      </c>
      <c r="N109" s="8" t="s">
        <v>42</v>
      </c>
      <c r="O109" s="8" t="s">
        <v>22</v>
      </c>
      <c r="P109" s="9">
        <v>44685</v>
      </c>
      <c r="Q109" s="8" t="s">
        <v>12</v>
      </c>
      <c r="R109" s="10">
        <v>0</v>
      </c>
    </row>
    <row r="110" spans="1:18" x14ac:dyDescent="0.3">
      <c r="A110" s="7" t="s">
        <v>144</v>
      </c>
      <c r="B110" s="8" t="s">
        <v>52</v>
      </c>
      <c r="C110" s="8">
        <v>27</v>
      </c>
      <c r="D110" s="8" t="s">
        <v>34</v>
      </c>
      <c r="E110" s="8" t="s">
        <v>7</v>
      </c>
      <c r="F110" s="8">
        <v>105631</v>
      </c>
      <c r="G110" s="8" t="s">
        <v>8</v>
      </c>
      <c r="H110" s="8">
        <v>537</v>
      </c>
      <c r="I110" s="8" t="s">
        <v>9</v>
      </c>
      <c r="J110" s="8">
        <v>1417228</v>
      </c>
      <c r="K110" s="8">
        <v>20</v>
      </c>
      <c r="L110" s="8">
        <v>10.37</v>
      </c>
      <c r="M110" s="8">
        <v>612.36</v>
      </c>
      <c r="N110" s="8" t="s">
        <v>17</v>
      </c>
      <c r="O110" s="8" t="s">
        <v>11</v>
      </c>
      <c r="P110" s="9">
        <v>44993</v>
      </c>
      <c r="Q110" s="8" t="s">
        <v>43</v>
      </c>
      <c r="R110" s="10">
        <v>0</v>
      </c>
    </row>
    <row r="111" spans="1:18" x14ac:dyDescent="0.3">
      <c r="A111" s="7" t="s">
        <v>145</v>
      </c>
      <c r="B111" s="8" t="s">
        <v>52</v>
      </c>
      <c r="C111" s="8">
        <v>44</v>
      </c>
      <c r="D111" s="8" t="s">
        <v>6</v>
      </c>
      <c r="E111" s="8" t="s">
        <v>21</v>
      </c>
      <c r="F111" s="8">
        <v>41810</v>
      </c>
      <c r="G111" s="8" t="s">
        <v>8</v>
      </c>
      <c r="H111" s="8">
        <v>845</v>
      </c>
      <c r="I111" s="8" t="s">
        <v>40</v>
      </c>
      <c r="J111" s="8">
        <v>1283867</v>
      </c>
      <c r="K111" s="8">
        <v>5</v>
      </c>
      <c r="L111" s="8">
        <v>13.94</v>
      </c>
      <c r="M111" s="8">
        <v>2982.85</v>
      </c>
      <c r="N111" s="8" t="s">
        <v>42</v>
      </c>
      <c r="O111" s="8" t="s">
        <v>18</v>
      </c>
      <c r="P111" s="9">
        <v>44680</v>
      </c>
      <c r="Q111" s="8" t="s">
        <v>12</v>
      </c>
      <c r="R111" s="10">
        <v>0</v>
      </c>
    </row>
    <row r="112" spans="1:18" x14ac:dyDescent="0.3">
      <c r="A112" s="7" t="s">
        <v>146</v>
      </c>
      <c r="B112" s="8" t="s">
        <v>24</v>
      </c>
      <c r="C112" s="8">
        <v>63</v>
      </c>
      <c r="D112" s="8" t="s">
        <v>31</v>
      </c>
      <c r="E112" s="8" t="s">
        <v>21</v>
      </c>
      <c r="F112" s="8">
        <v>123201</v>
      </c>
      <c r="G112" s="8" t="s">
        <v>25</v>
      </c>
      <c r="H112" s="8">
        <v>369</v>
      </c>
      <c r="I112" s="8" t="s">
        <v>9</v>
      </c>
      <c r="J112" s="8">
        <v>510587</v>
      </c>
      <c r="K112" s="8">
        <v>5</v>
      </c>
      <c r="L112" s="8">
        <v>11.69</v>
      </c>
      <c r="M112" s="8">
        <v>994.79</v>
      </c>
      <c r="N112" s="8" t="s">
        <v>42</v>
      </c>
      <c r="O112" s="8" t="s">
        <v>22</v>
      </c>
      <c r="P112" s="9">
        <v>45372</v>
      </c>
      <c r="Q112" s="8" t="s">
        <v>12</v>
      </c>
      <c r="R112" s="10">
        <v>0</v>
      </c>
    </row>
    <row r="113" spans="1:18" x14ac:dyDescent="0.3">
      <c r="A113" s="7" t="s">
        <v>147</v>
      </c>
      <c r="B113" s="8" t="s">
        <v>45</v>
      </c>
      <c r="C113" s="8">
        <v>44</v>
      </c>
      <c r="D113" s="8" t="s">
        <v>6</v>
      </c>
      <c r="E113" s="8" t="s">
        <v>21</v>
      </c>
      <c r="F113" s="8">
        <v>99642</v>
      </c>
      <c r="G113" s="8" t="s">
        <v>25</v>
      </c>
      <c r="H113" s="8">
        <v>348</v>
      </c>
      <c r="I113" s="8" t="s">
        <v>9</v>
      </c>
      <c r="J113" s="8">
        <v>1065164</v>
      </c>
      <c r="K113" s="8">
        <v>20</v>
      </c>
      <c r="L113" s="8">
        <v>9.18</v>
      </c>
      <c r="M113" s="8">
        <v>407.43</v>
      </c>
      <c r="N113" s="8" t="s">
        <v>42</v>
      </c>
      <c r="O113" s="8" t="s">
        <v>22</v>
      </c>
      <c r="P113" s="9">
        <v>45148</v>
      </c>
      <c r="Q113" s="8" t="s">
        <v>12</v>
      </c>
      <c r="R113" s="10">
        <v>0</v>
      </c>
    </row>
    <row r="114" spans="1:18" x14ac:dyDescent="0.3">
      <c r="A114" s="7" t="s">
        <v>148</v>
      </c>
      <c r="B114" s="8" t="s">
        <v>5</v>
      </c>
      <c r="C114" s="8">
        <v>42</v>
      </c>
      <c r="D114" s="8" t="s">
        <v>6</v>
      </c>
      <c r="E114" s="8" t="s">
        <v>21</v>
      </c>
      <c r="F114" s="8">
        <v>127461</v>
      </c>
      <c r="G114" s="8" t="s">
        <v>25</v>
      </c>
      <c r="H114" s="8">
        <v>474</v>
      </c>
      <c r="I114" s="8" t="s">
        <v>9</v>
      </c>
      <c r="J114" s="8">
        <v>1257866</v>
      </c>
      <c r="K114" s="8">
        <v>20</v>
      </c>
      <c r="L114" s="8">
        <v>8.6300000000000008</v>
      </c>
      <c r="M114" s="8">
        <v>452.31</v>
      </c>
      <c r="N114" s="8" t="s">
        <v>8</v>
      </c>
      <c r="O114" s="8" t="s">
        <v>28</v>
      </c>
      <c r="P114" s="9">
        <v>44674</v>
      </c>
      <c r="Q114" s="8" t="s">
        <v>43</v>
      </c>
      <c r="R114" s="10">
        <v>0</v>
      </c>
    </row>
    <row r="115" spans="1:18" x14ac:dyDescent="0.3">
      <c r="A115" s="7" t="s">
        <v>149</v>
      </c>
      <c r="B115" s="8" t="s">
        <v>36</v>
      </c>
      <c r="C115" s="8">
        <v>44</v>
      </c>
      <c r="D115" s="8" t="s">
        <v>6</v>
      </c>
      <c r="E115" s="8" t="s">
        <v>21</v>
      </c>
      <c r="F115" s="8">
        <v>60103</v>
      </c>
      <c r="G115" s="8" t="s">
        <v>8</v>
      </c>
      <c r="H115" s="8">
        <v>581</v>
      </c>
      <c r="I115" s="8" t="s">
        <v>16</v>
      </c>
      <c r="J115" s="8">
        <v>1465209</v>
      </c>
      <c r="K115" s="8">
        <v>5</v>
      </c>
      <c r="L115" s="8">
        <v>8.43</v>
      </c>
      <c r="M115" s="8">
        <v>2058.62</v>
      </c>
      <c r="N115" s="8" t="s">
        <v>42</v>
      </c>
      <c r="O115" s="8" t="s">
        <v>11</v>
      </c>
      <c r="P115" s="9">
        <v>44796</v>
      </c>
      <c r="Q115" s="8" t="s">
        <v>12</v>
      </c>
      <c r="R115" s="10">
        <v>0</v>
      </c>
    </row>
    <row r="116" spans="1:18" x14ac:dyDescent="0.3">
      <c r="A116" s="7" t="s">
        <v>150</v>
      </c>
      <c r="B116" s="8" t="s">
        <v>52</v>
      </c>
      <c r="C116" s="8">
        <v>24</v>
      </c>
      <c r="D116" s="8" t="s">
        <v>34</v>
      </c>
      <c r="E116" s="8" t="s">
        <v>7</v>
      </c>
      <c r="F116" s="8">
        <v>117400</v>
      </c>
      <c r="G116" s="8" t="s">
        <v>8</v>
      </c>
      <c r="H116" s="8">
        <v>804</v>
      </c>
      <c r="I116" s="8" t="s">
        <v>40</v>
      </c>
      <c r="J116" s="8">
        <v>1827500</v>
      </c>
      <c r="K116" s="8">
        <v>20</v>
      </c>
      <c r="L116" s="8">
        <v>10.37</v>
      </c>
      <c r="M116" s="8">
        <v>789.63</v>
      </c>
      <c r="N116" s="8" t="s">
        <v>42</v>
      </c>
      <c r="O116" s="8" t="s">
        <v>11</v>
      </c>
      <c r="P116" s="9">
        <v>45218</v>
      </c>
      <c r="Q116" s="8" t="s">
        <v>12</v>
      </c>
      <c r="R116" s="10">
        <v>0</v>
      </c>
    </row>
    <row r="117" spans="1:18" x14ac:dyDescent="0.3">
      <c r="A117" s="7" t="s">
        <v>151</v>
      </c>
      <c r="B117" s="8" t="s">
        <v>47</v>
      </c>
      <c r="C117" s="8">
        <v>40</v>
      </c>
      <c r="D117" s="8" t="s">
        <v>6</v>
      </c>
      <c r="E117" s="8" t="s">
        <v>7</v>
      </c>
      <c r="F117" s="8">
        <v>101951</v>
      </c>
      <c r="G117" s="8" t="s">
        <v>8</v>
      </c>
      <c r="H117" s="8">
        <v>385</v>
      </c>
      <c r="I117" s="8" t="s">
        <v>9</v>
      </c>
      <c r="J117" s="8">
        <v>914947</v>
      </c>
      <c r="K117" s="8">
        <v>15</v>
      </c>
      <c r="L117" s="8">
        <v>14.79</v>
      </c>
      <c r="M117" s="8">
        <v>751.78</v>
      </c>
      <c r="N117" s="8" t="s">
        <v>17</v>
      </c>
      <c r="O117" s="8" t="s">
        <v>22</v>
      </c>
      <c r="P117" s="9">
        <v>45077</v>
      </c>
      <c r="Q117" s="8" t="s">
        <v>43</v>
      </c>
      <c r="R117" s="10">
        <v>0</v>
      </c>
    </row>
    <row r="118" spans="1:18" x14ac:dyDescent="0.3">
      <c r="A118" s="7" t="s">
        <v>152</v>
      </c>
      <c r="B118" s="8" t="s">
        <v>14</v>
      </c>
      <c r="C118" s="8">
        <v>27</v>
      </c>
      <c r="D118" s="8" t="s">
        <v>34</v>
      </c>
      <c r="E118" s="8" t="s">
        <v>21</v>
      </c>
      <c r="F118" s="8">
        <v>141351</v>
      </c>
      <c r="G118" s="8" t="s">
        <v>25</v>
      </c>
      <c r="H118" s="8">
        <v>345</v>
      </c>
      <c r="I118" s="8" t="s">
        <v>9</v>
      </c>
      <c r="J118" s="8">
        <v>659409</v>
      </c>
      <c r="K118" s="8">
        <v>10</v>
      </c>
      <c r="L118" s="8">
        <v>10.95</v>
      </c>
      <c r="M118" s="8">
        <v>601.71</v>
      </c>
      <c r="N118" s="8" t="s">
        <v>42</v>
      </c>
      <c r="O118" s="8" t="s">
        <v>18</v>
      </c>
      <c r="P118" s="9">
        <v>44824</v>
      </c>
      <c r="Q118" s="8" t="s">
        <v>43</v>
      </c>
      <c r="R118" s="10">
        <v>0</v>
      </c>
    </row>
    <row r="119" spans="1:18" x14ac:dyDescent="0.3">
      <c r="A119" s="7" t="s">
        <v>153</v>
      </c>
      <c r="B119" s="8" t="s">
        <v>20</v>
      </c>
      <c r="C119" s="8">
        <v>37</v>
      </c>
      <c r="D119" s="8" t="s">
        <v>6</v>
      </c>
      <c r="E119" s="8" t="s">
        <v>7</v>
      </c>
      <c r="F119" s="8">
        <v>133042</v>
      </c>
      <c r="G119" s="8" t="s">
        <v>15</v>
      </c>
      <c r="H119" s="8">
        <v>755</v>
      </c>
      <c r="I119" s="8" t="s">
        <v>40</v>
      </c>
      <c r="J119" s="8">
        <v>812247</v>
      </c>
      <c r="K119" s="8">
        <v>15</v>
      </c>
      <c r="L119" s="8">
        <v>11.32</v>
      </c>
      <c r="M119" s="8">
        <v>510.81</v>
      </c>
      <c r="N119" s="8" t="s">
        <v>10</v>
      </c>
      <c r="O119" s="8" t="s">
        <v>18</v>
      </c>
      <c r="P119" s="9">
        <v>44860</v>
      </c>
      <c r="Q119" s="8" t="s">
        <v>29</v>
      </c>
      <c r="R119" s="10">
        <v>1</v>
      </c>
    </row>
    <row r="120" spans="1:18" x14ac:dyDescent="0.3">
      <c r="A120" s="7" t="s">
        <v>154</v>
      </c>
      <c r="B120" s="8" t="s">
        <v>47</v>
      </c>
      <c r="C120" s="8">
        <v>48</v>
      </c>
      <c r="D120" s="8" t="s">
        <v>31</v>
      </c>
      <c r="E120" s="8" t="s">
        <v>21</v>
      </c>
      <c r="F120" s="8">
        <v>90807</v>
      </c>
      <c r="G120" s="8" t="s">
        <v>8</v>
      </c>
      <c r="H120" s="8">
        <v>353</v>
      </c>
      <c r="I120" s="8" t="s">
        <v>9</v>
      </c>
      <c r="J120" s="8">
        <v>522068</v>
      </c>
      <c r="K120" s="8">
        <v>5</v>
      </c>
      <c r="L120" s="8">
        <v>7.42</v>
      </c>
      <c r="M120" s="8">
        <v>645.62</v>
      </c>
      <c r="N120" s="8" t="s">
        <v>17</v>
      </c>
      <c r="O120" s="8" t="s">
        <v>18</v>
      </c>
      <c r="P120" s="9">
        <v>45375</v>
      </c>
      <c r="Q120" s="8" t="s">
        <v>12</v>
      </c>
      <c r="R120" s="10">
        <v>0</v>
      </c>
    </row>
    <row r="121" spans="1:18" x14ac:dyDescent="0.3">
      <c r="A121" s="7" t="s">
        <v>155</v>
      </c>
      <c r="B121" s="8" t="s">
        <v>47</v>
      </c>
      <c r="C121" s="8">
        <v>43</v>
      </c>
      <c r="D121" s="8" t="s">
        <v>6</v>
      </c>
      <c r="E121" s="8" t="s">
        <v>7</v>
      </c>
      <c r="F121" s="8">
        <v>74294</v>
      </c>
      <c r="G121" s="8" t="s">
        <v>25</v>
      </c>
      <c r="H121" s="8">
        <v>425</v>
      </c>
      <c r="I121" s="8" t="s">
        <v>9</v>
      </c>
      <c r="J121" s="8">
        <v>995564</v>
      </c>
      <c r="K121" s="8">
        <v>5</v>
      </c>
      <c r="L121" s="8">
        <v>7.62</v>
      </c>
      <c r="M121" s="8">
        <v>1264.3699999999999</v>
      </c>
      <c r="N121" s="8" t="s">
        <v>8</v>
      </c>
      <c r="O121" s="8" t="s">
        <v>28</v>
      </c>
      <c r="P121" s="9">
        <v>45391</v>
      </c>
      <c r="Q121" s="8" t="s">
        <v>12</v>
      </c>
      <c r="R121" s="10">
        <v>0</v>
      </c>
    </row>
    <row r="122" spans="1:18" x14ac:dyDescent="0.3">
      <c r="A122" s="7" t="s">
        <v>156</v>
      </c>
      <c r="B122" s="8" t="s">
        <v>33</v>
      </c>
      <c r="C122" s="8">
        <v>28</v>
      </c>
      <c r="D122" s="8" t="s">
        <v>34</v>
      </c>
      <c r="E122" s="8" t="s">
        <v>21</v>
      </c>
      <c r="F122" s="8">
        <v>21019</v>
      </c>
      <c r="G122" s="8" t="s">
        <v>15</v>
      </c>
      <c r="H122" s="8">
        <v>614</v>
      </c>
      <c r="I122" s="8" t="s">
        <v>16</v>
      </c>
      <c r="J122" s="8">
        <v>183989</v>
      </c>
      <c r="K122" s="8">
        <v>20</v>
      </c>
      <c r="L122" s="8">
        <v>7.23</v>
      </c>
      <c r="M122" s="8">
        <v>55.43</v>
      </c>
      <c r="N122" s="8" t="s">
        <v>17</v>
      </c>
      <c r="O122" s="8" t="s">
        <v>28</v>
      </c>
      <c r="P122" s="9">
        <v>44630</v>
      </c>
      <c r="Q122" s="8" t="s">
        <v>12</v>
      </c>
      <c r="R122" s="10">
        <v>0</v>
      </c>
    </row>
    <row r="123" spans="1:18" x14ac:dyDescent="0.3">
      <c r="A123" s="7" t="s">
        <v>157</v>
      </c>
      <c r="B123" s="8" t="s">
        <v>20</v>
      </c>
      <c r="C123" s="8">
        <v>39</v>
      </c>
      <c r="D123" s="8" t="s">
        <v>6</v>
      </c>
      <c r="E123" s="8" t="s">
        <v>21</v>
      </c>
      <c r="F123" s="8">
        <v>50627</v>
      </c>
      <c r="G123" s="8" t="s">
        <v>25</v>
      </c>
      <c r="H123" s="8">
        <v>307</v>
      </c>
      <c r="I123" s="8" t="s">
        <v>9</v>
      </c>
      <c r="J123" s="8">
        <v>463244</v>
      </c>
      <c r="K123" s="8">
        <v>10</v>
      </c>
      <c r="L123" s="8">
        <v>7.97</v>
      </c>
      <c r="M123" s="8">
        <v>307.67</v>
      </c>
      <c r="N123" s="8" t="s">
        <v>10</v>
      </c>
      <c r="O123" s="8" t="s">
        <v>28</v>
      </c>
      <c r="P123" s="9">
        <v>44749</v>
      </c>
      <c r="Q123" s="8" t="s">
        <v>29</v>
      </c>
      <c r="R123" s="10">
        <v>1</v>
      </c>
    </row>
    <row r="124" spans="1:18" x14ac:dyDescent="0.3">
      <c r="A124" s="7" t="s">
        <v>158</v>
      </c>
      <c r="B124" s="8" t="s">
        <v>5</v>
      </c>
      <c r="C124" s="8">
        <v>61</v>
      </c>
      <c r="D124" s="8" t="s">
        <v>31</v>
      </c>
      <c r="E124" s="8" t="s">
        <v>7</v>
      </c>
      <c r="F124" s="8">
        <v>124986</v>
      </c>
      <c r="G124" s="8" t="s">
        <v>15</v>
      </c>
      <c r="H124" s="8">
        <v>750</v>
      </c>
      <c r="I124" s="8" t="s">
        <v>40</v>
      </c>
      <c r="J124" s="8">
        <v>1893286</v>
      </c>
      <c r="K124" s="8">
        <v>15</v>
      </c>
      <c r="L124" s="8">
        <v>9.18</v>
      </c>
      <c r="M124" s="8">
        <v>965.58</v>
      </c>
      <c r="N124" s="8" t="s">
        <v>27</v>
      </c>
      <c r="O124" s="8" t="s">
        <v>18</v>
      </c>
      <c r="P124" s="9">
        <v>45110</v>
      </c>
      <c r="Q124" s="8" t="s">
        <v>29</v>
      </c>
      <c r="R124" s="10">
        <v>1</v>
      </c>
    </row>
    <row r="125" spans="1:18" x14ac:dyDescent="0.3">
      <c r="A125" s="7" t="s">
        <v>159</v>
      </c>
      <c r="B125" s="8" t="s">
        <v>45</v>
      </c>
      <c r="C125" s="8">
        <v>24</v>
      </c>
      <c r="D125" s="8" t="s">
        <v>34</v>
      </c>
      <c r="E125" s="8" t="s">
        <v>21</v>
      </c>
      <c r="F125" s="8">
        <v>142108</v>
      </c>
      <c r="G125" s="8" t="s">
        <v>15</v>
      </c>
      <c r="H125" s="8">
        <v>517</v>
      </c>
      <c r="I125" s="8" t="s">
        <v>9</v>
      </c>
      <c r="J125" s="8">
        <v>878119</v>
      </c>
      <c r="K125" s="8">
        <v>5</v>
      </c>
      <c r="L125" s="8">
        <v>11.57</v>
      </c>
      <c r="M125" s="8">
        <v>1693.31</v>
      </c>
      <c r="N125" s="8" t="s">
        <v>17</v>
      </c>
      <c r="O125" s="8" t="s">
        <v>28</v>
      </c>
      <c r="P125" s="9">
        <v>45261</v>
      </c>
      <c r="Q125" s="8" t="s">
        <v>12</v>
      </c>
      <c r="R125" s="10">
        <v>0</v>
      </c>
    </row>
    <row r="126" spans="1:18" x14ac:dyDescent="0.3">
      <c r="A126" s="7" t="s">
        <v>160</v>
      </c>
      <c r="B126" s="8" t="s">
        <v>5</v>
      </c>
      <c r="C126" s="8">
        <v>31</v>
      </c>
      <c r="D126" s="8" t="s">
        <v>6</v>
      </c>
      <c r="E126" s="8" t="s">
        <v>7</v>
      </c>
      <c r="F126" s="8">
        <v>35392</v>
      </c>
      <c r="G126" s="8" t="s">
        <v>15</v>
      </c>
      <c r="H126" s="8">
        <v>374</v>
      </c>
      <c r="I126" s="8" t="s">
        <v>9</v>
      </c>
      <c r="J126" s="8">
        <v>928292</v>
      </c>
      <c r="K126" s="8">
        <v>15</v>
      </c>
      <c r="L126" s="8">
        <v>11.26</v>
      </c>
      <c r="M126" s="8">
        <v>580.70000000000005</v>
      </c>
      <c r="N126" s="8" t="s">
        <v>17</v>
      </c>
      <c r="O126" s="8" t="s">
        <v>18</v>
      </c>
      <c r="P126" s="9">
        <v>45367</v>
      </c>
      <c r="Q126" s="8" t="s">
        <v>29</v>
      </c>
      <c r="R126" s="10">
        <v>1</v>
      </c>
    </row>
    <row r="127" spans="1:18" x14ac:dyDescent="0.3">
      <c r="A127" s="7" t="s">
        <v>161</v>
      </c>
      <c r="B127" s="8" t="s">
        <v>39</v>
      </c>
      <c r="C127" s="8">
        <v>53</v>
      </c>
      <c r="D127" s="8" t="s">
        <v>31</v>
      </c>
      <c r="E127" s="8" t="s">
        <v>7</v>
      </c>
      <c r="F127" s="8">
        <v>107070</v>
      </c>
      <c r="G127" s="8" t="s">
        <v>25</v>
      </c>
      <c r="H127" s="8">
        <v>402</v>
      </c>
      <c r="I127" s="8" t="s">
        <v>9</v>
      </c>
      <c r="J127" s="8">
        <v>1841407</v>
      </c>
      <c r="K127" s="8">
        <v>10</v>
      </c>
      <c r="L127" s="8">
        <v>7.2</v>
      </c>
      <c r="M127" s="8">
        <v>1104.8399999999999</v>
      </c>
      <c r="N127" s="8" t="s">
        <v>17</v>
      </c>
      <c r="O127" s="8" t="s">
        <v>28</v>
      </c>
      <c r="P127" s="9">
        <v>44685</v>
      </c>
      <c r="Q127" s="8" t="s">
        <v>12</v>
      </c>
      <c r="R127" s="10">
        <v>0</v>
      </c>
    </row>
    <row r="128" spans="1:18" x14ac:dyDescent="0.3">
      <c r="A128" s="7" t="s">
        <v>162</v>
      </c>
      <c r="B128" s="8" t="s">
        <v>39</v>
      </c>
      <c r="C128" s="8">
        <v>51</v>
      </c>
      <c r="D128" s="8" t="s">
        <v>31</v>
      </c>
      <c r="E128" s="8" t="s">
        <v>7</v>
      </c>
      <c r="F128" s="8">
        <v>104374</v>
      </c>
      <c r="G128" s="8" t="s">
        <v>15</v>
      </c>
      <c r="H128" s="8">
        <v>768</v>
      </c>
      <c r="I128" s="8" t="s">
        <v>40</v>
      </c>
      <c r="J128" s="8">
        <v>649599</v>
      </c>
      <c r="K128" s="8">
        <v>20</v>
      </c>
      <c r="L128" s="8">
        <v>11.17</v>
      </c>
      <c r="M128" s="8">
        <v>302.33</v>
      </c>
      <c r="N128" s="8" t="s">
        <v>8</v>
      </c>
      <c r="O128" s="8" t="s">
        <v>11</v>
      </c>
      <c r="P128" s="9">
        <v>45201</v>
      </c>
      <c r="Q128" s="8" t="s">
        <v>43</v>
      </c>
      <c r="R128" s="10">
        <v>0</v>
      </c>
    </row>
    <row r="129" spans="1:18" x14ac:dyDescent="0.3">
      <c r="A129" s="7" t="s">
        <v>163</v>
      </c>
      <c r="B129" s="8" t="s">
        <v>24</v>
      </c>
      <c r="C129" s="8">
        <v>24</v>
      </c>
      <c r="D129" s="8" t="s">
        <v>34</v>
      </c>
      <c r="E129" s="8" t="s">
        <v>21</v>
      </c>
      <c r="F129" s="8">
        <v>38057</v>
      </c>
      <c r="G129" s="8" t="s">
        <v>15</v>
      </c>
      <c r="H129" s="8">
        <v>583</v>
      </c>
      <c r="I129" s="8" t="s">
        <v>16</v>
      </c>
      <c r="J129" s="8">
        <v>375254</v>
      </c>
      <c r="K129" s="8">
        <v>10</v>
      </c>
      <c r="L129" s="8">
        <v>7.56</v>
      </c>
      <c r="M129" s="8">
        <v>236.41</v>
      </c>
      <c r="N129" s="8" t="s">
        <v>8</v>
      </c>
      <c r="O129" s="8" t="s">
        <v>22</v>
      </c>
      <c r="P129" s="9">
        <v>45168</v>
      </c>
      <c r="Q129" s="8" t="s">
        <v>12</v>
      </c>
      <c r="R129" s="10">
        <v>0</v>
      </c>
    </row>
    <row r="130" spans="1:18" x14ac:dyDescent="0.3">
      <c r="A130" s="7" t="s">
        <v>164</v>
      </c>
      <c r="B130" s="8" t="s">
        <v>47</v>
      </c>
      <c r="C130" s="8">
        <v>22</v>
      </c>
      <c r="D130" s="8" t="s">
        <v>34</v>
      </c>
      <c r="E130" s="8" t="s">
        <v>7</v>
      </c>
      <c r="F130" s="8">
        <v>53804</v>
      </c>
      <c r="G130" s="8" t="s">
        <v>15</v>
      </c>
      <c r="H130" s="8">
        <v>631</v>
      </c>
      <c r="I130" s="8" t="s">
        <v>16</v>
      </c>
      <c r="J130" s="8">
        <v>1682760</v>
      </c>
      <c r="K130" s="8">
        <v>15</v>
      </c>
      <c r="L130" s="8">
        <v>10.9</v>
      </c>
      <c r="M130" s="8">
        <v>1019</v>
      </c>
      <c r="N130" s="8" t="s">
        <v>42</v>
      </c>
      <c r="O130" s="8" t="s">
        <v>22</v>
      </c>
      <c r="P130" s="9">
        <v>45168</v>
      </c>
      <c r="Q130" s="8" t="s">
        <v>12</v>
      </c>
      <c r="R130" s="10">
        <v>0</v>
      </c>
    </row>
    <row r="131" spans="1:18" x14ac:dyDescent="0.3">
      <c r="A131" s="7" t="s">
        <v>165</v>
      </c>
      <c r="B131" s="8" t="s">
        <v>5</v>
      </c>
      <c r="C131" s="8">
        <v>52</v>
      </c>
      <c r="D131" s="8" t="s">
        <v>31</v>
      </c>
      <c r="E131" s="8" t="s">
        <v>7</v>
      </c>
      <c r="F131" s="8">
        <v>131632</v>
      </c>
      <c r="G131" s="8" t="s">
        <v>25</v>
      </c>
      <c r="H131" s="8">
        <v>782</v>
      </c>
      <c r="I131" s="8" t="s">
        <v>40</v>
      </c>
      <c r="J131" s="8">
        <v>709150</v>
      </c>
      <c r="K131" s="8">
        <v>10</v>
      </c>
      <c r="L131" s="8">
        <v>12.22</v>
      </c>
      <c r="M131" s="8">
        <v>722.15</v>
      </c>
      <c r="N131" s="8" t="s">
        <v>42</v>
      </c>
      <c r="O131" s="8" t="s">
        <v>11</v>
      </c>
      <c r="P131" s="9">
        <v>45382</v>
      </c>
      <c r="Q131" s="8" t="s">
        <v>43</v>
      </c>
      <c r="R131" s="10">
        <v>0</v>
      </c>
    </row>
    <row r="132" spans="1:18" x14ac:dyDescent="0.3">
      <c r="A132" s="7" t="s">
        <v>166</v>
      </c>
      <c r="B132" s="8" t="s">
        <v>36</v>
      </c>
      <c r="C132" s="8">
        <v>61</v>
      </c>
      <c r="D132" s="8" t="s">
        <v>31</v>
      </c>
      <c r="E132" s="8" t="s">
        <v>21</v>
      </c>
      <c r="F132" s="8">
        <v>102826</v>
      </c>
      <c r="G132" s="8" t="s">
        <v>15</v>
      </c>
      <c r="H132" s="8">
        <v>374</v>
      </c>
      <c r="I132" s="8" t="s">
        <v>9</v>
      </c>
      <c r="J132" s="8">
        <v>1202526</v>
      </c>
      <c r="K132" s="8">
        <v>5</v>
      </c>
      <c r="L132" s="8">
        <v>7.91</v>
      </c>
      <c r="M132" s="8">
        <v>1585.33</v>
      </c>
      <c r="N132" s="8" t="s">
        <v>17</v>
      </c>
      <c r="O132" s="8" t="s">
        <v>28</v>
      </c>
      <c r="P132" s="9">
        <v>45116</v>
      </c>
      <c r="Q132" s="8" t="s">
        <v>12</v>
      </c>
      <c r="R132" s="10">
        <v>0</v>
      </c>
    </row>
    <row r="133" spans="1:18" x14ac:dyDescent="0.3">
      <c r="A133" s="7" t="s">
        <v>167</v>
      </c>
      <c r="B133" s="8" t="s">
        <v>36</v>
      </c>
      <c r="C133" s="8">
        <v>44</v>
      </c>
      <c r="D133" s="8" t="s">
        <v>6</v>
      </c>
      <c r="E133" s="8" t="s">
        <v>7</v>
      </c>
      <c r="F133" s="8">
        <v>28820</v>
      </c>
      <c r="G133" s="8" t="s">
        <v>25</v>
      </c>
      <c r="H133" s="8">
        <v>753</v>
      </c>
      <c r="I133" s="8" t="s">
        <v>40</v>
      </c>
      <c r="J133" s="8">
        <v>887403</v>
      </c>
      <c r="K133" s="8">
        <v>15</v>
      </c>
      <c r="L133" s="8">
        <v>10.66</v>
      </c>
      <c r="M133" s="8">
        <v>525.54</v>
      </c>
      <c r="N133" s="8" t="s">
        <v>42</v>
      </c>
      <c r="O133" s="8" t="s">
        <v>28</v>
      </c>
      <c r="P133" s="9">
        <v>45178</v>
      </c>
      <c r="Q133" s="8" t="s">
        <v>12</v>
      </c>
      <c r="R133" s="10">
        <v>0</v>
      </c>
    </row>
    <row r="134" spans="1:18" x14ac:dyDescent="0.3">
      <c r="A134" s="7" t="s">
        <v>168</v>
      </c>
      <c r="B134" s="8" t="s">
        <v>36</v>
      </c>
      <c r="C134" s="8">
        <v>47</v>
      </c>
      <c r="D134" s="8" t="s">
        <v>31</v>
      </c>
      <c r="E134" s="8" t="s">
        <v>21</v>
      </c>
      <c r="F134" s="8">
        <v>102621</v>
      </c>
      <c r="G134" s="8" t="s">
        <v>15</v>
      </c>
      <c r="H134" s="8">
        <v>611</v>
      </c>
      <c r="I134" s="8" t="s">
        <v>16</v>
      </c>
      <c r="J134" s="8">
        <v>1484575</v>
      </c>
      <c r="K134" s="8">
        <v>5</v>
      </c>
      <c r="L134" s="8">
        <v>11.53</v>
      </c>
      <c r="M134" s="8">
        <v>2852.86</v>
      </c>
      <c r="N134" s="8" t="s">
        <v>10</v>
      </c>
      <c r="O134" s="8" t="s">
        <v>18</v>
      </c>
      <c r="P134" s="9">
        <v>44886</v>
      </c>
      <c r="Q134" s="8" t="s">
        <v>12</v>
      </c>
      <c r="R134" s="10">
        <v>0</v>
      </c>
    </row>
    <row r="135" spans="1:18" x14ac:dyDescent="0.3">
      <c r="A135" s="7" t="s">
        <v>169</v>
      </c>
      <c r="B135" s="8" t="s">
        <v>5</v>
      </c>
      <c r="C135" s="8">
        <v>64</v>
      </c>
      <c r="D135" s="8" t="s">
        <v>31</v>
      </c>
      <c r="E135" s="8" t="s">
        <v>7</v>
      </c>
      <c r="F135" s="8">
        <v>137454</v>
      </c>
      <c r="G135" s="8" t="s">
        <v>8</v>
      </c>
      <c r="H135" s="8">
        <v>333</v>
      </c>
      <c r="I135" s="8" t="s">
        <v>9</v>
      </c>
      <c r="J135" s="8">
        <v>1207662</v>
      </c>
      <c r="K135" s="8">
        <v>5</v>
      </c>
      <c r="L135" s="8">
        <v>12.5</v>
      </c>
      <c r="M135" s="8">
        <v>2515.96</v>
      </c>
      <c r="N135" s="8" t="s">
        <v>42</v>
      </c>
      <c r="O135" s="8" t="s">
        <v>18</v>
      </c>
      <c r="P135" s="9">
        <v>45225</v>
      </c>
      <c r="Q135" s="8" t="s">
        <v>12</v>
      </c>
      <c r="R135" s="10">
        <v>0</v>
      </c>
    </row>
    <row r="136" spans="1:18" x14ac:dyDescent="0.3">
      <c r="A136" s="7" t="s">
        <v>170</v>
      </c>
      <c r="B136" s="8" t="s">
        <v>52</v>
      </c>
      <c r="C136" s="8">
        <v>58</v>
      </c>
      <c r="D136" s="8" t="s">
        <v>31</v>
      </c>
      <c r="E136" s="8" t="s">
        <v>7</v>
      </c>
      <c r="F136" s="8">
        <v>34876</v>
      </c>
      <c r="G136" s="8" t="s">
        <v>25</v>
      </c>
      <c r="H136" s="8">
        <v>530</v>
      </c>
      <c r="I136" s="8" t="s">
        <v>9</v>
      </c>
      <c r="J136" s="8">
        <v>1443900</v>
      </c>
      <c r="K136" s="8">
        <v>20</v>
      </c>
      <c r="L136" s="8">
        <v>11.69</v>
      </c>
      <c r="M136" s="8">
        <v>703.3</v>
      </c>
      <c r="N136" s="8" t="s">
        <v>10</v>
      </c>
      <c r="O136" s="8" t="s">
        <v>28</v>
      </c>
      <c r="P136" s="9">
        <v>45163</v>
      </c>
      <c r="Q136" s="8" t="s">
        <v>12</v>
      </c>
      <c r="R136" s="10">
        <v>0</v>
      </c>
    </row>
    <row r="137" spans="1:18" x14ac:dyDescent="0.3">
      <c r="A137" s="7" t="s">
        <v>171</v>
      </c>
      <c r="B137" s="8" t="s">
        <v>39</v>
      </c>
      <c r="C137" s="8">
        <v>47</v>
      </c>
      <c r="D137" s="8" t="s">
        <v>31</v>
      </c>
      <c r="E137" s="8" t="s">
        <v>7</v>
      </c>
      <c r="F137" s="8">
        <v>113782</v>
      </c>
      <c r="G137" s="8" t="s">
        <v>15</v>
      </c>
      <c r="H137" s="8">
        <v>573</v>
      </c>
      <c r="I137" s="8" t="s">
        <v>16</v>
      </c>
      <c r="J137" s="8">
        <v>1907181</v>
      </c>
      <c r="K137" s="8">
        <v>10</v>
      </c>
      <c r="L137" s="8">
        <v>9</v>
      </c>
      <c r="M137" s="8">
        <v>1430.39</v>
      </c>
      <c r="N137" s="8" t="s">
        <v>8</v>
      </c>
      <c r="O137" s="8" t="s">
        <v>11</v>
      </c>
      <c r="P137" s="9">
        <v>44691</v>
      </c>
      <c r="Q137" s="8" t="s">
        <v>12</v>
      </c>
      <c r="R137" s="10">
        <v>0</v>
      </c>
    </row>
    <row r="138" spans="1:18" x14ac:dyDescent="0.3">
      <c r="A138" s="7" t="s">
        <v>172</v>
      </c>
      <c r="B138" s="8" t="s">
        <v>33</v>
      </c>
      <c r="C138" s="8">
        <v>41</v>
      </c>
      <c r="D138" s="8" t="s">
        <v>6</v>
      </c>
      <c r="E138" s="8" t="s">
        <v>7</v>
      </c>
      <c r="F138" s="8">
        <v>33296</v>
      </c>
      <c r="G138" s="8" t="s">
        <v>25</v>
      </c>
      <c r="H138" s="8">
        <v>549</v>
      </c>
      <c r="I138" s="8" t="s">
        <v>9</v>
      </c>
      <c r="J138" s="8">
        <v>1581529</v>
      </c>
      <c r="K138" s="8">
        <v>15</v>
      </c>
      <c r="L138" s="8">
        <v>8.18</v>
      </c>
      <c r="M138" s="8">
        <v>718.72</v>
      </c>
      <c r="N138" s="8" t="s">
        <v>17</v>
      </c>
      <c r="O138" s="8" t="s">
        <v>28</v>
      </c>
      <c r="P138" s="9">
        <v>45023</v>
      </c>
      <c r="Q138" s="8" t="s">
        <v>12</v>
      </c>
      <c r="R138" s="10">
        <v>0</v>
      </c>
    </row>
    <row r="139" spans="1:18" x14ac:dyDescent="0.3">
      <c r="A139" s="7" t="s">
        <v>173</v>
      </c>
      <c r="B139" s="8" t="s">
        <v>36</v>
      </c>
      <c r="C139" s="8">
        <v>47</v>
      </c>
      <c r="D139" s="8" t="s">
        <v>31</v>
      </c>
      <c r="E139" s="8" t="s">
        <v>21</v>
      </c>
      <c r="F139" s="8">
        <v>58016</v>
      </c>
      <c r="G139" s="8" t="s">
        <v>15</v>
      </c>
      <c r="H139" s="8">
        <v>557</v>
      </c>
      <c r="I139" s="8" t="s">
        <v>16</v>
      </c>
      <c r="J139" s="8">
        <v>621574</v>
      </c>
      <c r="K139" s="8">
        <v>5</v>
      </c>
      <c r="L139" s="8">
        <v>14.41</v>
      </c>
      <c r="M139" s="8">
        <v>1492.81</v>
      </c>
      <c r="N139" s="8" t="s">
        <v>42</v>
      </c>
      <c r="O139" s="8" t="s">
        <v>28</v>
      </c>
      <c r="P139" s="9">
        <v>45252</v>
      </c>
      <c r="Q139" s="8" t="s">
        <v>43</v>
      </c>
      <c r="R139" s="10">
        <v>0</v>
      </c>
    </row>
    <row r="140" spans="1:18" x14ac:dyDescent="0.3">
      <c r="A140" s="7" t="s">
        <v>174</v>
      </c>
      <c r="B140" s="8" t="s">
        <v>47</v>
      </c>
      <c r="C140" s="8">
        <v>23</v>
      </c>
      <c r="D140" s="8" t="s">
        <v>34</v>
      </c>
      <c r="E140" s="8" t="s">
        <v>21</v>
      </c>
      <c r="F140" s="8">
        <v>126351</v>
      </c>
      <c r="G140" s="8" t="s">
        <v>8</v>
      </c>
      <c r="H140" s="8">
        <v>585</v>
      </c>
      <c r="I140" s="8" t="s">
        <v>16</v>
      </c>
      <c r="J140" s="8">
        <v>776383</v>
      </c>
      <c r="K140" s="8">
        <v>5</v>
      </c>
      <c r="L140" s="8">
        <v>9.8000000000000007</v>
      </c>
      <c r="M140" s="8">
        <v>1268.0899999999999</v>
      </c>
      <c r="N140" s="8" t="s">
        <v>17</v>
      </c>
      <c r="O140" s="8" t="s">
        <v>11</v>
      </c>
      <c r="P140" s="9">
        <v>45373</v>
      </c>
      <c r="Q140" s="8" t="s">
        <v>29</v>
      </c>
      <c r="R140" s="10">
        <v>1</v>
      </c>
    </row>
    <row r="141" spans="1:18" x14ac:dyDescent="0.3">
      <c r="A141" s="7" t="s">
        <v>175</v>
      </c>
      <c r="B141" s="8" t="s">
        <v>45</v>
      </c>
      <c r="C141" s="8">
        <v>55</v>
      </c>
      <c r="D141" s="8" t="s">
        <v>31</v>
      </c>
      <c r="E141" s="8" t="s">
        <v>21</v>
      </c>
      <c r="F141" s="8">
        <v>92015</v>
      </c>
      <c r="G141" s="8" t="s">
        <v>15</v>
      </c>
      <c r="H141" s="8">
        <v>481</v>
      </c>
      <c r="I141" s="8" t="s">
        <v>9</v>
      </c>
      <c r="J141" s="8">
        <v>1238963</v>
      </c>
      <c r="K141" s="8">
        <v>15</v>
      </c>
      <c r="L141" s="8">
        <v>11.61</v>
      </c>
      <c r="M141" s="8">
        <v>799.13</v>
      </c>
      <c r="N141" s="8" t="s">
        <v>27</v>
      </c>
      <c r="O141" s="8" t="s">
        <v>28</v>
      </c>
      <c r="P141" s="9">
        <v>44778</v>
      </c>
      <c r="Q141" s="8" t="s">
        <v>12</v>
      </c>
      <c r="R141" s="10">
        <v>0</v>
      </c>
    </row>
    <row r="142" spans="1:18" x14ac:dyDescent="0.3">
      <c r="A142" s="7" t="s">
        <v>176</v>
      </c>
      <c r="B142" s="8" t="s">
        <v>5</v>
      </c>
      <c r="C142" s="8">
        <v>29</v>
      </c>
      <c r="D142" s="8" t="s">
        <v>34</v>
      </c>
      <c r="E142" s="8" t="s">
        <v>21</v>
      </c>
      <c r="F142" s="8">
        <v>67432</v>
      </c>
      <c r="G142" s="8" t="s">
        <v>15</v>
      </c>
      <c r="H142" s="8">
        <v>344</v>
      </c>
      <c r="I142" s="8" t="s">
        <v>9</v>
      </c>
      <c r="J142" s="8">
        <v>413924</v>
      </c>
      <c r="K142" s="8">
        <v>10</v>
      </c>
      <c r="L142" s="8">
        <v>13.8</v>
      </c>
      <c r="M142" s="8">
        <v>476.01</v>
      </c>
      <c r="N142" s="8" t="s">
        <v>10</v>
      </c>
      <c r="O142" s="8" t="s">
        <v>18</v>
      </c>
      <c r="P142" s="9">
        <v>44972</v>
      </c>
      <c r="Q142" s="8" t="s">
        <v>43</v>
      </c>
      <c r="R142" s="10">
        <v>0</v>
      </c>
    </row>
    <row r="143" spans="1:18" x14ac:dyDescent="0.3">
      <c r="A143" s="7" t="s">
        <v>177</v>
      </c>
      <c r="B143" s="8" t="s">
        <v>47</v>
      </c>
      <c r="C143" s="8">
        <v>31</v>
      </c>
      <c r="D143" s="8" t="s">
        <v>6</v>
      </c>
      <c r="E143" s="8" t="s">
        <v>21</v>
      </c>
      <c r="F143" s="8">
        <v>26877</v>
      </c>
      <c r="G143" s="8" t="s">
        <v>8</v>
      </c>
      <c r="H143" s="8">
        <v>514</v>
      </c>
      <c r="I143" s="8" t="s">
        <v>9</v>
      </c>
      <c r="J143" s="8">
        <v>302024</v>
      </c>
      <c r="K143" s="8">
        <v>5</v>
      </c>
      <c r="L143" s="8">
        <v>8.6999999999999993</v>
      </c>
      <c r="M143" s="8">
        <v>437.93</v>
      </c>
      <c r="N143" s="8" t="s">
        <v>10</v>
      </c>
      <c r="O143" s="8" t="s">
        <v>11</v>
      </c>
      <c r="P143" s="9">
        <v>45454</v>
      </c>
      <c r="Q143" s="8" t="s">
        <v>12</v>
      </c>
      <c r="R143" s="10">
        <v>0</v>
      </c>
    </row>
    <row r="144" spans="1:18" x14ac:dyDescent="0.3">
      <c r="A144" s="7" t="s">
        <v>178</v>
      </c>
      <c r="B144" s="8" t="s">
        <v>52</v>
      </c>
      <c r="C144" s="8">
        <v>33</v>
      </c>
      <c r="D144" s="8" t="s">
        <v>6</v>
      </c>
      <c r="E144" s="8" t="s">
        <v>21</v>
      </c>
      <c r="F144" s="8">
        <v>144875</v>
      </c>
      <c r="G144" s="8" t="s">
        <v>8</v>
      </c>
      <c r="H144" s="8">
        <v>634</v>
      </c>
      <c r="I144" s="8" t="s">
        <v>16</v>
      </c>
      <c r="J144" s="8">
        <v>1041765</v>
      </c>
      <c r="K144" s="8">
        <v>20</v>
      </c>
      <c r="L144" s="8">
        <v>9.81</v>
      </c>
      <c r="M144" s="8">
        <v>425.82</v>
      </c>
      <c r="N144" s="8" t="s">
        <v>27</v>
      </c>
      <c r="O144" s="8" t="s">
        <v>22</v>
      </c>
      <c r="P144" s="9">
        <v>44880</v>
      </c>
      <c r="Q144" s="8" t="s">
        <v>12</v>
      </c>
      <c r="R144" s="10">
        <v>0</v>
      </c>
    </row>
    <row r="145" spans="1:18" x14ac:dyDescent="0.3">
      <c r="A145" s="7" t="s">
        <v>179</v>
      </c>
      <c r="B145" s="8" t="s">
        <v>45</v>
      </c>
      <c r="C145" s="8">
        <v>64</v>
      </c>
      <c r="D145" s="8" t="s">
        <v>31</v>
      </c>
      <c r="E145" s="8" t="s">
        <v>21</v>
      </c>
      <c r="F145" s="8">
        <v>39509</v>
      </c>
      <c r="G145" s="8" t="s">
        <v>25</v>
      </c>
      <c r="H145" s="8">
        <v>431</v>
      </c>
      <c r="I145" s="8" t="s">
        <v>9</v>
      </c>
      <c r="J145" s="8">
        <v>1357642</v>
      </c>
      <c r="K145" s="8">
        <v>20</v>
      </c>
      <c r="L145" s="8">
        <v>13.97</v>
      </c>
      <c r="M145" s="8">
        <v>790.26</v>
      </c>
      <c r="N145" s="8" t="s">
        <v>10</v>
      </c>
      <c r="O145" s="8" t="s">
        <v>18</v>
      </c>
      <c r="P145" s="9">
        <v>45455</v>
      </c>
      <c r="Q145" s="8" t="s">
        <v>29</v>
      </c>
      <c r="R145" s="10">
        <v>1</v>
      </c>
    </row>
    <row r="146" spans="1:18" x14ac:dyDescent="0.3">
      <c r="A146" s="7" t="s">
        <v>180</v>
      </c>
      <c r="B146" s="8" t="s">
        <v>39</v>
      </c>
      <c r="C146" s="8">
        <v>38</v>
      </c>
      <c r="D146" s="8" t="s">
        <v>6</v>
      </c>
      <c r="E146" s="8" t="s">
        <v>21</v>
      </c>
      <c r="F146" s="8">
        <v>129094</v>
      </c>
      <c r="G146" s="8" t="s">
        <v>8</v>
      </c>
      <c r="H146" s="8">
        <v>512</v>
      </c>
      <c r="I146" s="8" t="s">
        <v>9</v>
      </c>
      <c r="J146" s="8">
        <v>1103726</v>
      </c>
      <c r="K146" s="8">
        <v>5</v>
      </c>
      <c r="L146" s="8">
        <v>9.93</v>
      </c>
      <c r="M146" s="8">
        <v>1826.67</v>
      </c>
      <c r="N146" s="8" t="s">
        <v>27</v>
      </c>
      <c r="O146" s="8" t="s">
        <v>28</v>
      </c>
      <c r="P146" s="9">
        <v>44713</v>
      </c>
      <c r="Q146" s="8" t="s">
        <v>12</v>
      </c>
      <c r="R146" s="10">
        <v>0</v>
      </c>
    </row>
    <row r="147" spans="1:18" x14ac:dyDescent="0.3">
      <c r="A147" s="7" t="s">
        <v>181</v>
      </c>
      <c r="B147" s="8" t="s">
        <v>52</v>
      </c>
      <c r="C147" s="8">
        <v>32</v>
      </c>
      <c r="D147" s="8" t="s">
        <v>6</v>
      </c>
      <c r="E147" s="8" t="s">
        <v>21</v>
      </c>
      <c r="F147" s="8">
        <v>47416</v>
      </c>
      <c r="G147" s="8" t="s">
        <v>15</v>
      </c>
      <c r="H147" s="8">
        <v>533</v>
      </c>
      <c r="I147" s="8" t="s">
        <v>9</v>
      </c>
      <c r="J147" s="8">
        <v>679173</v>
      </c>
      <c r="K147" s="8">
        <v>20</v>
      </c>
      <c r="L147" s="8">
        <v>9.36</v>
      </c>
      <c r="M147" s="8">
        <v>264.88</v>
      </c>
      <c r="N147" s="8" t="s">
        <v>10</v>
      </c>
      <c r="O147" s="8" t="s">
        <v>18</v>
      </c>
      <c r="P147" s="9">
        <v>45407</v>
      </c>
      <c r="Q147" s="8" t="s">
        <v>12</v>
      </c>
      <c r="R147" s="10">
        <v>0</v>
      </c>
    </row>
    <row r="148" spans="1:18" x14ac:dyDescent="0.3">
      <c r="A148" s="7" t="s">
        <v>182</v>
      </c>
      <c r="B148" s="8" t="s">
        <v>36</v>
      </c>
      <c r="C148" s="8">
        <v>35</v>
      </c>
      <c r="D148" s="8" t="s">
        <v>6</v>
      </c>
      <c r="E148" s="8" t="s">
        <v>7</v>
      </c>
      <c r="F148" s="8">
        <v>63974</v>
      </c>
      <c r="G148" s="8" t="s">
        <v>15</v>
      </c>
      <c r="H148" s="8">
        <v>750</v>
      </c>
      <c r="I148" s="8" t="s">
        <v>40</v>
      </c>
      <c r="J148" s="8">
        <v>904101</v>
      </c>
      <c r="K148" s="8">
        <v>15</v>
      </c>
      <c r="L148" s="8">
        <v>9.4499999999999993</v>
      </c>
      <c r="M148" s="8">
        <v>474.65</v>
      </c>
      <c r="N148" s="8" t="s">
        <v>17</v>
      </c>
      <c r="O148" s="8" t="s">
        <v>11</v>
      </c>
      <c r="P148" s="9">
        <v>45096</v>
      </c>
      <c r="Q148" s="8" t="s">
        <v>43</v>
      </c>
      <c r="R148" s="10">
        <v>0</v>
      </c>
    </row>
    <row r="149" spans="1:18" x14ac:dyDescent="0.3">
      <c r="A149" s="7" t="s">
        <v>183</v>
      </c>
      <c r="B149" s="8" t="s">
        <v>5</v>
      </c>
      <c r="C149" s="8">
        <v>24</v>
      </c>
      <c r="D149" s="8" t="s">
        <v>34</v>
      </c>
      <c r="E149" s="8" t="s">
        <v>21</v>
      </c>
      <c r="F149" s="8">
        <v>123646</v>
      </c>
      <c r="G149" s="8" t="s">
        <v>8</v>
      </c>
      <c r="H149" s="8">
        <v>349</v>
      </c>
      <c r="I149" s="8" t="s">
        <v>9</v>
      </c>
      <c r="J149" s="8">
        <v>307005</v>
      </c>
      <c r="K149" s="8">
        <v>15</v>
      </c>
      <c r="L149" s="8">
        <v>7.46</v>
      </c>
      <c r="M149" s="8">
        <v>127.24</v>
      </c>
      <c r="N149" s="8" t="s">
        <v>17</v>
      </c>
      <c r="O149" s="8" t="s">
        <v>11</v>
      </c>
      <c r="P149" s="9">
        <v>45282</v>
      </c>
      <c r="Q149" s="8" t="s">
        <v>12</v>
      </c>
      <c r="R149" s="10">
        <v>0</v>
      </c>
    </row>
    <row r="150" spans="1:18" x14ac:dyDescent="0.3">
      <c r="A150" s="7" t="s">
        <v>184</v>
      </c>
      <c r="B150" s="8" t="s">
        <v>36</v>
      </c>
      <c r="C150" s="8">
        <v>28</v>
      </c>
      <c r="D150" s="8" t="s">
        <v>34</v>
      </c>
      <c r="E150" s="8" t="s">
        <v>7</v>
      </c>
      <c r="F150" s="8">
        <v>103394</v>
      </c>
      <c r="G150" s="8" t="s">
        <v>15</v>
      </c>
      <c r="H150" s="8">
        <v>648</v>
      </c>
      <c r="I150" s="8" t="s">
        <v>16</v>
      </c>
      <c r="J150" s="8">
        <v>589837</v>
      </c>
      <c r="K150" s="8">
        <v>15</v>
      </c>
      <c r="L150" s="8">
        <v>13.03</v>
      </c>
      <c r="M150" s="8">
        <v>426.98</v>
      </c>
      <c r="N150" s="8" t="s">
        <v>8</v>
      </c>
      <c r="O150" s="8" t="s">
        <v>28</v>
      </c>
      <c r="P150" s="9">
        <v>45400</v>
      </c>
      <c r="Q150" s="8" t="s">
        <v>12</v>
      </c>
      <c r="R150" s="10">
        <v>0</v>
      </c>
    </row>
    <row r="151" spans="1:18" x14ac:dyDescent="0.3">
      <c r="A151" s="7" t="s">
        <v>185</v>
      </c>
      <c r="B151" s="8" t="s">
        <v>24</v>
      </c>
      <c r="C151" s="8">
        <v>58</v>
      </c>
      <c r="D151" s="8" t="s">
        <v>31</v>
      </c>
      <c r="E151" s="8" t="s">
        <v>7</v>
      </c>
      <c r="F151" s="8">
        <v>103425</v>
      </c>
      <c r="G151" s="8" t="s">
        <v>8</v>
      </c>
      <c r="H151" s="8">
        <v>497</v>
      </c>
      <c r="I151" s="8" t="s">
        <v>9</v>
      </c>
      <c r="J151" s="8">
        <v>339036</v>
      </c>
      <c r="K151" s="8">
        <v>20</v>
      </c>
      <c r="L151" s="8">
        <v>12.09</v>
      </c>
      <c r="M151" s="8">
        <v>170.79</v>
      </c>
      <c r="N151" s="8" t="s">
        <v>8</v>
      </c>
      <c r="O151" s="8" t="s">
        <v>28</v>
      </c>
      <c r="P151" s="9">
        <v>45159</v>
      </c>
      <c r="Q151" s="8" t="s">
        <v>29</v>
      </c>
      <c r="R151" s="10">
        <v>1</v>
      </c>
    </row>
    <row r="152" spans="1:18" x14ac:dyDescent="0.3">
      <c r="A152" s="7" t="s">
        <v>186</v>
      </c>
      <c r="B152" s="8" t="s">
        <v>24</v>
      </c>
      <c r="C152" s="8">
        <v>52</v>
      </c>
      <c r="D152" s="8" t="s">
        <v>31</v>
      </c>
      <c r="E152" s="8" t="s">
        <v>7</v>
      </c>
      <c r="F152" s="8">
        <v>149105</v>
      </c>
      <c r="G152" s="8" t="s">
        <v>8</v>
      </c>
      <c r="H152" s="8">
        <v>623</v>
      </c>
      <c r="I152" s="8" t="s">
        <v>16</v>
      </c>
      <c r="J152" s="8">
        <v>1297263</v>
      </c>
      <c r="K152" s="8">
        <v>20</v>
      </c>
      <c r="L152" s="8">
        <v>11.7</v>
      </c>
      <c r="M152" s="8">
        <v>632.41999999999996</v>
      </c>
      <c r="N152" s="8" t="s">
        <v>10</v>
      </c>
      <c r="O152" s="8" t="s">
        <v>11</v>
      </c>
      <c r="P152" s="9">
        <v>44807</v>
      </c>
      <c r="Q152" s="8" t="s">
        <v>12</v>
      </c>
      <c r="R152" s="10">
        <v>0</v>
      </c>
    </row>
    <row r="153" spans="1:18" x14ac:dyDescent="0.3">
      <c r="A153" s="7" t="s">
        <v>187</v>
      </c>
      <c r="B153" s="8" t="s">
        <v>39</v>
      </c>
      <c r="C153" s="8">
        <v>27</v>
      </c>
      <c r="D153" s="8" t="s">
        <v>34</v>
      </c>
      <c r="E153" s="8" t="s">
        <v>7</v>
      </c>
      <c r="F153" s="8">
        <v>92191</v>
      </c>
      <c r="G153" s="8" t="s">
        <v>15</v>
      </c>
      <c r="H153" s="8">
        <v>389</v>
      </c>
      <c r="I153" s="8" t="s">
        <v>9</v>
      </c>
      <c r="J153" s="8">
        <v>1832678</v>
      </c>
      <c r="K153" s="8">
        <v>10</v>
      </c>
      <c r="L153" s="8">
        <v>13.16</v>
      </c>
      <c r="M153" s="8">
        <v>2009.84</v>
      </c>
      <c r="N153" s="8" t="s">
        <v>17</v>
      </c>
      <c r="O153" s="8" t="s">
        <v>22</v>
      </c>
      <c r="P153" s="9">
        <v>45132</v>
      </c>
      <c r="Q153" s="8" t="s">
        <v>12</v>
      </c>
      <c r="R153" s="10">
        <v>0</v>
      </c>
    </row>
    <row r="154" spans="1:18" x14ac:dyDescent="0.3">
      <c r="A154" s="7" t="s">
        <v>188</v>
      </c>
      <c r="B154" s="8" t="s">
        <v>24</v>
      </c>
      <c r="C154" s="8">
        <v>53</v>
      </c>
      <c r="D154" s="8" t="s">
        <v>31</v>
      </c>
      <c r="E154" s="8" t="s">
        <v>21</v>
      </c>
      <c r="F154" s="8">
        <v>149330</v>
      </c>
      <c r="G154" s="8" t="s">
        <v>25</v>
      </c>
      <c r="H154" s="8">
        <v>794</v>
      </c>
      <c r="I154" s="8" t="s">
        <v>40</v>
      </c>
      <c r="J154" s="8">
        <v>617816</v>
      </c>
      <c r="K154" s="8">
        <v>10</v>
      </c>
      <c r="L154" s="8">
        <v>13.81</v>
      </c>
      <c r="M154" s="8">
        <v>711</v>
      </c>
      <c r="N154" s="8" t="s">
        <v>8</v>
      </c>
      <c r="O154" s="8" t="s">
        <v>22</v>
      </c>
      <c r="P154" s="9">
        <v>44986</v>
      </c>
      <c r="Q154" s="8" t="s">
        <v>43</v>
      </c>
      <c r="R154" s="10">
        <v>0</v>
      </c>
    </row>
    <row r="155" spans="1:18" x14ac:dyDescent="0.3">
      <c r="A155" s="7" t="s">
        <v>189</v>
      </c>
      <c r="B155" s="8" t="s">
        <v>14</v>
      </c>
      <c r="C155" s="8">
        <v>63</v>
      </c>
      <c r="D155" s="8" t="s">
        <v>31</v>
      </c>
      <c r="E155" s="8" t="s">
        <v>21</v>
      </c>
      <c r="F155" s="8">
        <v>36625</v>
      </c>
      <c r="G155" s="8" t="s">
        <v>8</v>
      </c>
      <c r="H155" s="8">
        <v>572</v>
      </c>
      <c r="I155" s="8" t="s">
        <v>16</v>
      </c>
      <c r="J155" s="8">
        <v>716861</v>
      </c>
      <c r="K155" s="8">
        <v>20</v>
      </c>
      <c r="L155" s="8">
        <v>7.53</v>
      </c>
      <c r="M155" s="8">
        <v>224.92</v>
      </c>
      <c r="N155" s="8" t="s">
        <v>42</v>
      </c>
      <c r="O155" s="8" t="s">
        <v>28</v>
      </c>
      <c r="P155" s="9">
        <v>44576</v>
      </c>
      <c r="Q155" s="8" t="s">
        <v>12</v>
      </c>
      <c r="R155" s="10">
        <v>0</v>
      </c>
    </row>
    <row r="156" spans="1:18" x14ac:dyDescent="0.3">
      <c r="A156" s="7" t="s">
        <v>190</v>
      </c>
      <c r="B156" s="8" t="s">
        <v>39</v>
      </c>
      <c r="C156" s="8">
        <v>51</v>
      </c>
      <c r="D156" s="8" t="s">
        <v>31</v>
      </c>
      <c r="E156" s="8" t="s">
        <v>7</v>
      </c>
      <c r="F156" s="8">
        <v>43254</v>
      </c>
      <c r="G156" s="8" t="s">
        <v>8</v>
      </c>
      <c r="H156" s="8">
        <v>622</v>
      </c>
      <c r="I156" s="8" t="s">
        <v>16</v>
      </c>
      <c r="J156" s="8">
        <v>1886482</v>
      </c>
      <c r="K156" s="8">
        <v>20</v>
      </c>
      <c r="L156" s="8">
        <v>13.83</v>
      </c>
      <c r="M156" s="8">
        <v>1087.0899999999999</v>
      </c>
      <c r="N156" s="8" t="s">
        <v>17</v>
      </c>
      <c r="O156" s="8" t="s">
        <v>22</v>
      </c>
      <c r="P156" s="9">
        <v>44998</v>
      </c>
      <c r="Q156" s="8" t="s">
        <v>29</v>
      </c>
      <c r="R156" s="10">
        <v>1</v>
      </c>
    </row>
    <row r="157" spans="1:18" x14ac:dyDescent="0.3">
      <c r="A157" s="7" t="s">
        <v>191</v>
      </c>
      <c r="B157" s="8" t="s">
        <v>39</v>
      </c>
      <c r="C157" s="8">
        <v>53</v>
      </c>
      <c r="D157" s="8" t="s">
        <v>31</v>
      </c>
      <c r="E157" s="8" t="s">
        <v>7</v>
      </c>
      <c r="F157" s="8">
        <v>123610</v>
      </c>
      <c r="G157" s="8" t="s">
        <v>25</v>
      </c>
      <c r="H157" s="8">
        <v>667</v>
      </c>
      <c r="I157" s="8" t="s">
        <v>16</v>
      </c>
      <c r="J157" s="8">
        <v>939342</v>
      </c>
      <c r="K157" s="8">
        <v>10</v>
      </c>
      <c r="L157" s="8">
        <v>12.14</v>
      </c>
      <c r="M157" s="8">
        <v>950.3</v>
      </c>
      <c r="N157" s="8" t="s">
        <v>17</v>
      </c>
      <c r="O157" s="8" t="s">
        <v>22</v>
      </c>
      <c r="P157" s="9">
        <v>45444</v>
      </c>
      <c r="Q157" s="8" t="s">
        <v>12</v>
      </c>
      <c r="R157" s="10">
        <v>0</v>
      </c>
    </row>
    <row r="158" spans="1:18" x14ac:dyDescent="0.3">
      <c r="A158" s="7" t="s">
        <v>192</v>
      </c>
      <c r="B158" s="8" t="s">
        <v>36</v>
      </c>
      <c r="C158" s="8">
        <v>36</v>
      </c>
      <c r="D158" s="8" t="s">
        <v>6</v>
      </c>
      <c r="E158" s="8" t="s">
        <v>21</v>
      </c>
      <c r="F158" s="8">
        <v>65508</v>
      </c>
      <c r="G158" s="8" t="s">
        <v>15</v>
      </c>
      <c r="H158" s="8">
        <v>381</v>
      </c>
      <c r="I158" s="8" t="s">
        <v>9</v>
      </c>
      <c r="J158" s="8">
        <v>1117118</v>
      </c>
      <c r="K158" s="8">
        <v>15</v>
      </c>
      <c r="L158" s="8">
        <v>13.54</v>
      </c>
      <c r="M158" s="8">
        <v>840.32</v>
      </c>
      <c r="N158" s="8" t="s">
        <v>42</v>
      </c>
      <c r="O158" s="8" t="s">
        <v>11</v>
      </c>
      <c r="P158" s="9">
        <v>44944</v>
      </c>
      <c r="Q158" s="8" t="s">
        <v>12</v>
      </c>
      <c r="R158" s="10">
        <v>0</v>
      </c>
    </row>
    <row r="159" spans="1:18" x14ac:dyDescent="0.3">
      <c r="A159" s="7" t="s">
        <v>193</v>
      </c>
      <c r="B159" s="8" t="s">
        <v>47</v>
      </c>
      <c r="C159" s="8">
        <v>56</v>
      </c>
      <c r="D159" s="8" t="s">
        <v>31</v>
      </c>
      <c r="E159" s="8" t="s">
        <v>21</v>
      </c>
      <c r="F159" s="8">
        <v>78794</v>
      </c>
      <c r="G159" s="8" t="s">
        <v>8</v>
      </c>
      <c r="H159" s="8">
        <v>330</v>
      </c>
      <c r="I159" s="8" t="s">
        <v>9</v>
      </c>
      <c r="J159" s="8">
        <v>943194</v>
      </c>
      <c r="K159" s="8">
        <v>10</v>
      </c>
      <c r="L159" s="8">
        <v>12.31</v>
      </c>
      <c r="M159" s="8">
        <v>967.56</v>
      </c>
      <c r="N159" s="8" t="s">
        <v>42</v>
      </c>
      <c r="O159" s="8" t="s">
        <v>28</v>
      </c>
      <c r="P159" s="9">
        <v>44957</v>
      </c>
      <c r="Q159" s="8" t="s">
        <v>12</v>
      </c>
      <c r="R159" s="10">
        <v>0</v>
      </c>
    </row>
    <row r="160" spans="1:18" x14ac:dyDescent="0.3">
      <c r="A160" s="7" t="s">
        <v>194</v>
      </c>
      <c r="B160" s="8" t="s">
        <v>47</v>
      </c>
      <c r="C160" s="8">
        <v>62</v>
      </c>
      <c r="D160" s="8" t="s">
        <v>31</v>
      </c>
      <c r="E160" s="8" t="s">
        <v>7</v>
      </c>
      <c r="F160" s="8">
        <v>98974</v>
      </c>
      <c r="G160" s="8" t="s">
        <v>15</v>
      </c>
      <c r="H160" s="8">
        <v>807</v>
      </c>
      <c r="I160" s="8" t="s">
        <v>40</v>
      </c>
      <c r="J160" s="8">
        <v>1665759</v>
      </c>
      <c r="K160" s="8">
        <v>5</v>
      </c>
      <c r="L160" s="8">
        <v>8.23</v>
      </c>
      <c r="M160" s="8">
        <v>2284.87</v>
      </c>
      <c r="N160" s="8" t="s">
        <v>10</v>
      </c>
      <c r="O160" s="8" t="s">
        <v>18</v>
      </c>
      <c r="P160" s="9">
        <v>45025</v>
      </c>
      <c r="Q160" s="8" t="s">
        <v>43</v>
      </c>
      <c r="R160" s="10">
        <v>0</v>
      </c>
    </row>
    <row r="161" spans="1:18" x14ac:dyDescent="0.3">
      <c r="A161" s="7" t="s">
        <v>195</v>
      </c>
      <c r="B161" s="8" t="s">
        <v>20</v>
      </c>
      <c r="C161" s="8">
        <v>55</v>
      </c>
      <c r="D161" s="8" t="s">
        <v>31</v>
      </c>
      <c r="E161" s="8" t="s">
        <v>7</v>
      </c>
      <c r="F161" s="8">
        <v>142935</v>
      </c>
      <c r="G161" s="8" t="s">
        <v>25</v>
      </c>
      <c r="H161" s="8">
        <v>691</v>
      </c>
      <c r="I161" s="8" t="s">
        <v>16</v>
      </c>
      <c r="J161" s="8">
        <v>807158</v>
      </c>
      <c r="K161" s="8">
        <v>20</v>
      </c>
      <c r="L161" s="8">
        <v>8.6</v>
      </c>
      <c r="M161" s="8">
        <v>289.23</v>
      </c>
      <c r="N161" s="8" t="s">
        <v>42</v>
      </c>
      <c r="O161" s="8" t="s">
        <v>22</v>
      </c>
      <c r="P161" s="9">
        <v>44858</v>
      </c>
      <c r="Q161" s="8" t="s">
        <v>12</v>
      </c>
      <c r="R161" s="10">
        <v>0</v>
      </c>
    </row>
    <row r="162" spans="1:18" x14ac:dyDescent="0.3">
      <c r="A162" s="7" t="s">
        <v>196</v>
      </c>
      <c r="B162" s="8" t="s">
        <v>24</v>
      </c>
      <c r="C162" s="8">
        <v>37</v>
      </c>
      <c r="D162" s="8" t="s">
        <v>6</v>
      </c>
      <c r="E162" s="8" t="s">
        <v>21</v>
      </c>
      <c r="F162" s="8">
        <v>26839</v>
      </c>
      <c r="G162" s="8" t="s">
        <v>25</v>
      </c>
      <c r="H162" s="8">
        <v>575</v>
      </c>
      <c r="I162" s="8" t="s">
        <v>16</v>
      </c>
      <c r="J162" s="8">
        <v>1184981</v>
      </c>
      <c r="K162" s="8">
        <v>15</v>
      </c>
      <c r="L162" s="8">
        <v>10.61</v>
      </c>
      <c r="M162" s="8">
        <v>698.48</v>
      </c>
      <c r="N162" s="8" t="s">
        <v>17</v>
      </c>
      <c r="O162" s="8" t="s">
        <v>28</v>
      </c>
      <c r="P162" s="9">
        <v>44792</v>
      </c>
      <c r="Q162" s="8" t="s">
        <v>43</v>
      </c>
      <c r="R162" s="10">
        <v>0</v>
      </c>
    </row>
    <row r="163" spans="1:18" x14ac:dyDescent="0.3">
      <c r="A163" s="7" t="s">
        <v>197</v>
      </c>
      <c r="B163" s="8" t="s">
        <v>24</v>
      </c>
      <c r="C163" s="8">
        <v>43</v>
      </c>
      <c r="D163" s="8" t="s">
        <v>6</v>
      </c>
      <c r="E163" s="8" t="s">
        <v>7</v>
      </c>
      <c r="F163" s="8">
        <v>36179</v>
      </c>
      <c r="G163" s="8" t="s">
        <v>15</v>
      </c>
      <c r="H163" s="8">
        <v>584</v>
      </c>
      <c r="I163" s="8" t="s">
        <v>16</v>
      </c>
      <c r="J163" s="8">
        <v>791929</v>
      </c>
      <c r="K163" s="8">
        <v>10</v>
      </c>
      <c r="L163" s="8">
        <v>14.23</v>
      </c>
      <c r="M163" s="8">
        <v>939.1</v>
      </c>
      <c r="N163" s="8" t="s">
        <v>8</v>
      </c>
      <c r="O163" s="8" t="s">
        <v>18</v>
      </c>
      <c r="P163" s="9">
        <v>44831</v>
      </c>
      <c r="Q163" s="8" t="s">
        <v>12</v>
      </c>
      <c r="R163" s="10">
        <v>0</v>
      </c>
    </row>
    <row r="164" spans="1:18" x14ac:dyDescent="0.3">
      <c r="A164" s="7" t="s">
        <v>198</v>
      </c>
      <c r="B164" s="8" t="s">
        <v>36</v>
      </c>
      <c r="C164" s="8">
        <v>34</v>
      </c>
      <c r="D164" s="8" t="s">
        <v>6</v>
      </c>
      <c r="E164" s="8" t="s">
        <v>7</v>
      </c>
      <c r="F164" s="8">
        <v>56570</v>
      </c>
      <c r="G164" s="8" t="s">
        <v>15</v>
      </c>
      <c r="H164" s="8">
        <v>355</v>
      </c>
      <c r="I164" s="8" t="s">
        <v>9</v>
      </c>
      <c r="J164" s="8">
        <v>509529</v>
      </c>
      <c r="K164" s="8">
        <v>10</v>
      </c>
      <c r="L164" s="8">
        <v>11.1</v>
      </c>
      <c r="M164" s="8">
        <v>471.31</v>
      </c>
      <c r="N164" s="8" t="s">
        <v>27</v>
      </c>
      <c r="O164" s="8" t="s">
        <v>22</v>
      </c>
      <c r="P164" s="9">
        <v>44822</v>
      </c>
      <c r="Q164" s="8" t="s">
        <v>12</v>
      </c>
      <c r="R164" s="10">
        <v>0</v>
      </c>
    </row>
    <row r="165" spans="1:18" x14ac:dyDescent="0.3">
      <c r="A165" s="7" t="s">
        <v>199</v>
      </c>
      <c r="B165" s="8" t="s">
        <v>14</v>
      </c>
      <c r="C165" s="8">
        <v>63</v>
      </c>
      <c r="D165" s="8" t="s">
        <v>31</v>
      </c>
      <c r="E165" s="8" t="s">
        <v>21</v>
      </c>
      <c r="F165" s="8">
        <v>103640</v>
      </c>
      <c r="G165" s="8" t="s">
        <v>8</v>
      </c>
      <c r="H165" s="8">
        <v>811</v>
      </c>
      <c r="I165" s="8" t="s">
        <v>40</v>
      </c>
      <c r="J165" s="8">
        <v>1360707</v>
      </c>
      <c r="K165" s="8">
        <v>10</v>
      </c>
      <c r="L165" s="8">
        <v>13.08</v>
      </c>
      <c r="M165" s="8">
        <v>1483.17</v>
      </c>
      <c r="N165" s="8" t="s">
        <v>8</v>
      </c>
      <c r="O165" s="8" t="s">
        <v>28</v>
      </c>
      <c r="P165" s="9">
        <v>45422</v>
      </c>
      <c r="Q165" s="8" t="s">
        <v>12</v>
      </c>
      <c r="R165" s="10">
        <v>0</v>
      </c>
    </row>
    <row r="166" spans="1:18" x14ac:dyDescent="0.3">
      <c r="A166" s="7" t="s">
        <v>200</v>
      </c>
      <c r="B166" s="8" t="s">
        <v>36</v>
      </c>
      <c r="C166" s="8">
        <v>58</v>
      </c>
      <c r="D166" s="8" t="s">
        <v>31</v>
      </c>
      <c r="E166" s="8" t="s">
        <v>21</v>
      </c>
      <c r="F166" s="8">
        <v>105433</v>
      </c>
      <c r="G166" s="8" t="s">
        <v>8</v>
      </c>
      <c r="H166" s="8">
        <v>615</v>
      </c>
      <c r="I166" s="8" t="s">
        <v>16</v>
      </c>
      <c r="J166" s="8">
        <v>599053</v>
      </c>
      <c r="K166" s="8">
        <v>20</v>
      </c>
      <c r="L166" s="8">
        <v>10</v>
      </c>
      <c r="M166" s="8">
        <v>249.61</v>
      </c>
      <c r="N166" s="8" t="s">
        <v>10</v>
      </c>
      <c r="O166" s="8" t="s">
        <v>22</v>
      </c>
      <c r="P166" s="9">
        <v>45428</v>
      </c>
      <c r="Q166" s="8" t="s">
        <v>12</v>
      </c>
      <c r="R166" s="10">
        <v>0</v>
      </c>
    </row>
    <row r="167" spans="1:18" x14ac:dyDescent="0.3">
      <c r="A167" s="7" t="s">
        <v>201</v>
      </c>
      <c r="B167" s="8" t="s">
        <v>14</v>
      </c>
      <c r="C167" s="8">
        <v>21</v>
      </c>
      <c r="D167" s="8" t="s">
        <v>34</v>
      </c>
      <c r="E167" s="8" t="s">
        <v>7</v>
      </c>
      <c r="F167" s="8">
        <v>27518</v>
      </c>
      <c r="G167" s="8" t="s">
        <v>8</v>
      </c>
      <c r="H167" s="8">
        <v>793</v>
      </c>
      <c r="I167" s="8" t="s">
        <v>40</v>
      </c>
      <c r="J167" s="8">
        <v>926706</v>
      </c>
      <c r="K167" s="8">
        <v>20</v>
      </c>
      <c r="L167" s="8">
        <v>10.29</v>
      </c>
      <c r="M167" s="8">
        <v>397.33</v>
      </c>
      <c r="N167" s="8" t="s">
        <v>27</v>
      </c>
      <c r="O167" s="8" t="s">
        <v>22</v>
      </c>
      <c r="P167" s="9">
        <v>44919</v>
      </c>
      <c r="Q167" s="8" t="s">
        <v>12</v>
      </c>
      <c r="R167" s="10">
        <v>0</v>
      </c>
    </row>
    <row r="168" spans="1:18" x14ac:dyDescent="0.3">
      <c r="A168" s="7" t="s">
        <v>202</v>
      </c>
      <c r="B168" s="8" t="s">
        <v>52</v>
      </c>
      <c r="C168" s="8">
        <v>33</v>
      </c>
      <c r="D168" s="8" t="s">
        <v>6</v>
      </c>
      <c r="E168" s="8" t="s">
        <v>7</v>
      </c>
      <c r="F168" s="8">
        <v>87775</v>
      </c>
      <c r="G168" s="8" t="s">
        <v>8</v>
      </c>
      <c r="H168" s="8">
        <v>467</v>
      </c>
      <c r="I168" s="8" t="s">
        <v>9</v>
      </c>
      <c r="J168" s="8">
        <v>476344</v>
      </c>
      <c r="K168" s="8">
        <v>10</v>
      </c>
      <c r="L168" s="8">
        <v>12.96</v>
      </c>
      <c r="M168" s="8">
        <v>514.45000000000005</v>
      </c>
      <c r="N168" s="8" t="s">
        <v>17</v>
      </c>
      <c r="O168" s="8" t="s">
        <v>11</v>
      </c>
      <c r="P168" s="9">
        <v>45014</v>
      </c>
      <c r="Q168" s="8" t="s">
        <v>12</v>
      </c>
      <c r="R168" s="10">
        <v>0</v>
      </c>
    </row>
    <row r="169" spans="1:18" x14ac:dyDescent="0.3">
      <c r="A169" s="7" t="s">
        <v>203</v>
      </c>
      <c r="B169" s="8" t="s">
        <v>24</v>
      </c>
      <c r="C169" s="8">
        <v>57</v>
      </c>
      <c r="D169" s="8" t="s">
        <v>31</v>
      </c>
      <c r="E169" s="8" t="s">
        <v>7</v>
      </c>
      <c r="F169" s="8">
        <v>129968</v>
      </c>
      <c r="G169" s="8" t="s">
        <v>15</v>
      </c>
      <c r="H169" s="8">
        <v>610</v>
      </c>
      <c r="I169" s="8" t="s">
        <v>16</v>
      </c>
      <c r="J169" s="8">
        <v>1322833</v>
      </c>
      <c r="K169" s="8">
        <v>10</v>
      </c>
      <c r="L169" s="8">
        <v>8.24</v>
      </c>
      <c r="M169" s="8">
        <v>908.35</v>
      </c>
      <c r="N169" s="8" t="s">
        <v>17</v>
      </c>
      <c r="O169" s="8" t="s">
        <v>18</v>
      </c>
      <c r="P169" s="9">
        <v>44808</v>
      </c>
      <c r="Q169" s="8" t="s">
        <v>12</v>
      </c>
      <c r="R169" s="10">
        <v>0</v>
      </c>
    </row>
    <row r="170" spans="1:18" x14ac:dyDescent="0.3">
      <c r="A170" s="7" t="s">
        <v>204</v>
      </c>
      <c r="B170" s="8" t="s">
        <v>5</v>
      </c>
      <c r="C170" s="8">
        <v>26</v>
      </c>
      <c r="D170" s="8" t="s">
        <v>34</v>
      </c>
      <c r="E170" s="8" t="s">
        <v>21</v>
      </c>
      <c r="F170" s="8">
        <v>74307</v>
      </c>
      <c r="G170" s="8" t="s">
        <v>25</v>
      </c>
      <c r="H170" s="8">
        <v>414</v>
      </c>
      <c r="I170" s="8" t="s">
        <v>9</v>
      </c>
      <c r="J170" s="8">
        <v>284545</v>
      </c>
      <c r="K170" s="8">
        <v>5</v>
      </c>
      <c r="L170" s="8">
        <v>12.51</v>
      </c>
      <c r="M170" s="8">
        <v>593.28</v>
      </c>
      <c r="N170" s="8" t="s">
        <v>17</v>
      </c>
      <c r="O170" s="8" t="s">
        <v>28</v>
      </c>
      <c r="P170" s="9">
        <v>45302</v>
      </c>
      <c r="Q170" s="8" t="s">
        <v>29</v>
      </c>
      <c r="R170" s="10">
        <v>1</v>
      </c>
    </row>
    <row r="171" spans="1:18" x14ac:dyDescent="0.3">
      <c r="A171" s="7" t="s">
        <v>205</v>
      </c>
      <c r="B171" s="8" t="s">
        <v>14</v>
      </c>
      <c r="C171" s="8">
        <v>36</v>
      </c>
      <c r="D171" s="8" t="s">
        <v>6</v>
      </c>
      <c r="E171" s="8" t="s">
        <v>7</v>
      </c>
      <c r="F171" s="8">
        <v>126802</v>
      </c>
      <c r="G171" s="8" t="s">
        <v>8</v>
      </c>
      <c r="H171" s="8">
        <v>822</v>
      </c>
      <c r="I171" s="8" t="s">
        <v>40</v>
      </c>
      <c r="J171" s="8">
        <v>1070681</v>
      </c>
      <c r="K171" s="8">
        <v>20</v>
      </c>
      <c r="L171" s="8">
        <v>12.29</v>
      </c>
      <c r="M171" s="8">
        <v>548.28</v>
      </c>
      <c r="N171" s="8" t="s">
        <v>8</v>
      </c>
      <c r="O171" s="8" t="s">
        <v>18</v>
      </c>
      <c r="P171" s="9">
        <v>44738</v>
      </c>
      <c r="Q171" s="8" t="s">
        <v>43</v>
      </c>
      <c r="R171" s="10">
        <v>0</v>
      </c>
    </row>
    <row r="172" spans="1:18" x14ac:dyDescent="0.3">
      <c r="A172" s="7" t="s">
        <v>206</v>
      </c>
      <c r="B172" s="8" t="s">
        <v>14</v>
      </c>
      <c r="C172" s="8">
        <v>26</v>
      </c>
      <c r="D172" s="8" t="s">
        <v>34</v>
      </c>
      <c r="E172" s="8" t="s">
        <v>7</v>
      </c>
      <c r="F172" s="8">
        <v>94868</v>
      </c>
      <c r="G172" s="8" t="s">
        <v>25</v>
      </c>
      <c r="H172" s="8">
        <v>571</v>
      </c>
      <c r="I172" s="8" t="s">
        <v>16</v>
      </c>
      <c r="J172" s="8">
        <v>1073763</v>
      </c>
      <c r="K172" s="8">
        <v>20</v>
      </c>
      <c r="L172" s="8">
        <v>11.31</v>
      </c>
      <c r="M172" s="8">
        <v>506.01</v>
      </c>
      <c r="N172" s="8" t="s">
        <v>17</v>
      </c>
      <c r="O172" s="8" t="s">
        <v>11</v>
      </c>
      <c r="P172" s="9">
        <v>45030</v>
      </c>
      <c r="Q172" s="8" t="s">
        <v>29</v>
      </c>
      <c r="R172" s="10">
        <v>1</v>
      </c>
    </row>
    <row r="173" spans="1:18" x14ac:dyDescent="0.3">
      <c r="A173" s="7" t="s">
        <v>207</v>
      </c>
      <c r="B173" s="8" t="s">
        <v>39</v>
      </c>
      <c r="C173" s="8">
        <v>28</v>
      </c>
      <c r="D173" s="8" t="s">
        <v>34</v>
      </c>
      <c r="E173" s="8" t="s">
        <v>7</v>
      </c>
      <c r="F173" s="8">
        <v>107563</v>
      </c>
      <c r="G173" s="8" t="s">
        <v>15</v>
      </c>
      <c r="H173" s="8">
        <v>809</v>
      </c>
      <c r="I173" s="8" t="s">
        <v>40</v>
      </c>
      <c r="J173" s="8">
        <v>1889914</v>
      </c>
      <c r="K173" s="8">
        <v>10</v>
      </c>
      <c r="L173" s="8">
        <v>9.3000000000000007</v>
      </c>
      <c r="M173" s="8">
        <v>1464.68</v>
      </c>
      <c r="N173" s="8" t="s">
        <v>27</v>
      </c>
      <c r="O173" s="8" t="s">
        <v>22</v>
      </c>
      <c r="P173" s="9">
        <v>44905</v>
      </c>
      <c r="Q173" s="8" t="s">
        <v>43</v>
      </c>
      <c r="R173" s="10">
        <v>0</v>
      </c>
    </row>
    <row r="174" spans="1:18" x14ac:dyDescent="0.3">
      <c r="A174" s="7" t="s">
        <v>208</v>
      </c>
      <c r="B174" s="8" t="s">
        <v>24</v>
      </c>
      <c r="C174" s="8">
        <v>43</v>
      </c>
      <c r="D174" s="8" t="s">
        <v>6</v>
      </c>
      <c r="E174" s="8" t="s">
        <v>7</v>
      </c>
      <c r="F174" s="8">
        <v>34435</v>
      </c>
      <c r="G174" s="8" t="s">
        <v>15</v>
      </c>
      <c r="H174" s="8">
        <v>837</v>
      </c>
      <c r="I174" s="8" t="s">
        <v>40</v>
      </c>
      <c r="J174" s="8">
        <v>1065928</v>
      </c>
      <c r="K174" s="8">
        <v>10</v>
      </c>
      <c r="L174" s="8">
        <v>11.49</v>
      </c>
      <c r="M174" s="8">
        <v>1020.63</v>
      </c>
      <c r="N174" s="8" t="s">
        <v>8</v>
      </c>
      <c r="O174" s="8" t="s">
        <v>22</v>
      </c>
      <c r="P174" s="9">
        <v>45139</v>
      </c>
      <c r="Q174" s="8" t="s">
        <v>43</v>
      </c>
      <c r="R174" s="10">
        <v>0</v>
      </c>
    </row>
    <row r="175" spans="1:18" x14ac:dyDescent="0.3">
      <c r="A175" s="7" t="s">
        <v>209</v>
      </c>
      <c r="B175" s="8" t="s">
        <v>20</v>
      </c>
      <c r="C175" s="8">
        <v>30</v>
      </c>
      <c r="D175" s="8" t="s">
        <v>6</v>
      </c>
      <c r="E175" s="8" t="s">
        <v>21</v>
      </c>
      <c r="F175" s="8">
        <v>94730</v>
      </c>
      <c r="G175" s="8" t="s">
        <v>8</v>
      </c>
      <c r="H175" s="8">
        <v>405</v>
      </c>
      <c r="I175" s="8" t="s">
        <v>9</v>
      </c>
      <c r="J175" s="8">
        <v>817203</v>
      </c>
      <c r="K175" s="8">
        <v>20</v>
      </c>
      <c r="L175" s="8">
        <v>8.1999999999999993</v>
      </c>
      <c r="M175" s="8">
        <v>279.20999999999998</v>
      </c>
      <c r="N175" s="8" t="s">
        <v>42</v>
      </c>
      <c r="O175" s="8" t="s">
        <v>28</v>
      </c>
      <c r="P175" s="9">
        <v>44661</v>
      </c>
      <c r="Q175" s="8" t="s">
        <v>12</v>
      </c>
      <c r="R175" s="10">
        <v>0</v>
      </c>
    </row>
    <row r="176" spans="1:18" x14ac:dyDescent="0.3">
      <c r="A176" s="7" t="s">
        <v>210</v>
      </c>
      <c r="B176" s="8" t="s">
        <v>47</v>
      </c>
      <c r="C176" s="8">
        <v>38</v>
      </c>
      <c r="D176" s="8" t="s">
        <v>6</v>
      </c>
      <c r="E176" s="8" t="s">
        <v>21</v>
      </c>
      <c r="F176" s="8">
        <v>47460</v>
      </c>
      <c r="G176" s="8" t="s">
        <v>8</v>
      </c>
      <c r="H176" s="8">
        <v>682</v>
      </c>
      <c r="I176" s="8" t="s">
        <v>16</v>
      </c>
      <c r="J176" s="8">
        <v>528441</v>
      </c>
      <c r="K176" s="8">
        <v>5</v>
      </c>
      <c r="L176" s="8">
        <v>9.34</v>
      </c>
      <c r="M176" s="8">
        <v>822.61</v>
      </c>
      <c r="N176" s="8" t="s">
        <v>27</v>
      </c>
      <c r="O176" s="8" t="s">
        <v>28</v>
      </c>
      <c r="P176" s="9">
        <v>44602</v>
      </c>
      <c r="Q176" s="8" t="s">
        <v>12</v>
      </c>
      <c r="R176" s="10">
        <v>0</v>
      </c>
    </row>
    <row r="177" spans="1:18" x14ac:dyDescent="0.3">
      <c r="A177" s="7" t="s">
        <v>211</v>
      </c>
      <c r="B177" s="8" t="s">
        <v>39</v>
      </c>
      <c r="C177" s="8">
        <v>55</v>
      </c>
      <c r="D177" s="8" t="s">
        <v>31</v>
      </c>
      <c r="E177" s="8" t="s">
        <v>21</v>
      </c>
      <c r="F177" s="8">
        <v>135332</v>
      </c>
      <c r="G177" s="8" t="s">
        <v>15</v>
      </c>
      <c r="H177" s="8">
        <v>373</v>
      </c>
      <c r="I177" s="8" t="s">
        <v>9</v>
      </c>
      <c r="J177" s="8">
        <v>1076709</v>
      </c>
      <c r="K177" s="8">
        <v>5</v>
      </c>
      <c r="L177" s="8">
        <v>8.2100000000000009</v>
      </c>
      <c r="M177" s="8">
        <v>1473.3</v>
      </c>
      <c r="N177" s="8" t="s">
        <v>8</v>
      </c>
      <c r="O177" s="8" t="s">
        <v>28</v>
      </c>
      <c r="P177" s="9">
        <v>44922</v>
      </c>
      <c r="Q177" s="8" t="s">
        <v>12</v>
      </c>
      <c r="R177" s="10">
        <v>0</v>
      </c>
    </row>
    <row r="178" spans="1:18" x14ac:dyDescent="0.3">
      <c r="A178" s="7" t="s">
        <v>212</v>
      </c>
      <c r="B178" s="8" t="s">
        <v>20</v>
      </c>
      <c r="C178" s="8">
        <v>57</v>
      </c>
      <c r="D178" s="8" t="s">
        <v>31</v>
      </c>
      <c r="E178" s="8" t="s">
        <v>7</v>
      </c>
      <c r="F178" s="8">
        <v>58784</v>
      </c>
      <c r="G178" s="8" t="s">
        <v>15</v>
      </c>
      <c r="H178" s="8">
        <v>748</v>
      </c>
      <c r="I178" s="8" t="s">
        <v>40</v>
      </c>
      <c r="J178" s="8">
        <v>1383773</v>
      </c>
      <c r="K178" s="8">
        <v>20</v>
      </c>
      <c r="L178" s="8">
        <v>13.31</v>
      </c>
      <c r="M178" s="8">
        <v>767.42</v>
      </c>
      <c r="N178" s="8" t="s">
        <v>27</v>
      </c>
      <c r="O178" s="8" t="s">
        <v>22</v>
      </c>
      <c r="P178" s="9">
        <v>44656</v>
      </c>
      <c r="Q178" s="8" t="s">
        <v>12</v>
      </c>
      <c r="R178" s="10">
        <v>0</v>
      </c>
    </row>
    <row r="179" spans="1:18" x14ac:dyDescent="0.3">
      <c r="A179" s="7" t="s">
        <v>213</v>
      </c>
      <c r="B179" s="8" t="s">
        <v>39</v>
      </c>
      <c r="C179" s="8">
        <v>34</v>
      </c>
      <c r="D179" s="8" t="s">
        <v>6</v>
      </c>
      <c r="E179" s="8" t="s">
        <v>21</v>
      </c>
      <c r="F179" s="8">
        <v>42847</v>
      </c>
      <c r="G179" s="8" t="s">
        <v>8</v>
      </c>
      <c r="H179" s="8">
        <v>600</v>
      </c>
      <c r="I179" s="8" t="s">
        <v>16</v>
      </c>
      <c r="J179" s="8">
        <v>738270</v>
      </c>
      <c r="K179" s="8">
        <v>15</v>
      </c>
      <c r="L179" s="8">
        <v>12.24</v>
      </c>
      <c r="M179" s="8">
        <v>502.02</v>
      </c>
      <c r="N179" s="8" t="s">
        <v>17</v>
      </c>
      <c r="O179" s="8" t="s">
        <v>22</v>
      </c>
      <c r="P179" s="9">
        <v>44607</v>
      </c>
      <c r="Q179" s="8" t="s">
        <v>12</v>
      </c>
      <c r="R179" s="10">
        <v>0</v>
      </c>
    </row>
    <row r="180" spans="1:18" x14ac:dyDescent="0.3">
      <c r="A180" s="7" t="s">
        <v>214</v>
      </c>
      <c r="B180" s="8" t="s">
        <v>36</v>
      </c>
      <c r="C180" s="8">
        <v>29</v>
      </c>
      <c r="D180" s="8" t="s">
        <v>34</v>
      </c>
      <c r="E180" s="8" t="s">
        <v>7</v>
      </c>
      <c r="F180" s="8">
        <v>55885</v>
      </c>
      <c r="G180" s="8" t="s">
        <v>25</v>
      </c>
      <c r="H180" s="8">
        <v>660</v>
      </c>
      <c r="I180" s="8" t="s">
        <v>16</v>
      </c>
      <c r="J180" s="8">
        <v>717341</v>
      </c>
      <c r="K180" s="8">
        <v>5</v>
      </c>
      <c r="L180" s="8">
        <v>10.28</v>
      </c>
      <c r="M180" s="8">
        <v>1229.04</v>
      </c>
      <c r="N180" s="8" t="s">
        <v>42</v>
      </c>
      <c r="O180" s="8" t="s">
        <v>28</v>
      </c>
      <c r="P180" s="9">
        <v>44792</v>
      </c>
      <c r="Q180" s="8" t="s">
        <v>43</v>
      </c>
      <c r="R180" s="10">
        <v>0</v>
      </c>
    </row>
    <row r="181" spans="1:18" x14ac:dyDescent="0.3">
      <c r="A181" s="7" t="s">
        <v>215</v>
      </c>
      <c r="B181" s="8" t="s">
        <v>47</v>
      </c>
      <c r="C181" s="8">
        <v>54</v>
      </c>
      <c r="D181" s="8" t="s">
        <v>31</v>
      </c>
      <c r="E181" s="8" t="s">
        <v>7</v>
      </c>
      <c r="F181" s="8">
        <v>101618</v>
      </c>
      <c r="G181" s="8" t="s">
        <v>25</v>
      </c>
      <c r="H181" s="8">
        <v>825</v>
      </c>
      <c r="I181" s="8" t="s">
        <v>40</v>
      </c>
      <c r="J181" s="8">
        <v>1748760</v>
      </c>
      <c r="K181" s="8">
        <v>20</v>
      </c>
      <c r="L181" s="8">
        <v>9.77</v>
      </c>
      <c r="M181" s="8">
        <v>711.89</v>
      </c>
      <c r="N181" s="8" t="s">
        <v>8</v>
      </c>
      <c r="O181" s="8" t="s">
        <v>11</v>
      </c>
      <c r="P181" s="9">
        <v>44950</v>
      </c>
      <c r="Q181" s="8" t="s">
        <v>29</v>
      </c>
      <c r="R181" s="10">
        <v>1</v>
      </c>
    </row>
    <row r="182" spans="1:18" x14ac:dyDescent="0.3">
      <c r="A182" s="7" t="s">
        <v>216</v>
      </c>
      <c r="B182" s="8" t="s">
        <v>52</v>
      </c>
      <c r="C182" s="8">
        <v>60</v>
      </c>
      <c r="D182" s="8" t="s">
        <v>31</v>
      </c>
      <c r="E182" s="8" t="s">
        <v>21</v>
      </c>
      <c r="F182" s="8">
        <v>104374</v>
      </c>
      <c r="G182" s="8" t="s">
        <v>8</v>
      </c>
      <c r="H182" s="8">
        <v>572</v>
      </c>
      <c r="I182" s="8" t="s">
        <v>16</v>
      </c>
      <c r="J182" s="8">
        <v>399618</v>
      </c>
      <c r="K182" s="8">
        <v>15</v>
      </c>
      <c r="L182" s="8">
        <v>8.11</v>
      </c>
      <c r="M182" s="8">
        <v>180.05</v>
      </c>
      <c r="N182" s="8" t="s">
        <v>27</v>
      </c>
      <c r="O182" s="8" t="s">
        <v>18</v>
      </c>
      <c r="P182" s="9">
        <v>44854</v>
      </c>
      <c r="Q182" s="8" t="s">
        <v>12</v>
      </c>
      <c r="R182" s="10">
        <v>0</v>
      </c>
    </row>
    <row r="183" spans="1:18" x14ac:dyDescent="0.3">
      <c r="A183" s="7" t="s">
        <v>217</v>
      </c>
      <c r="B183" s="8" t="s">
        <v>24</v>
      </c>
      <c r="C183" s="8">
        <v>52</v>
      </c>
      <c r="D183" s="8" t="s">
        <v>31</v>
      </c>
      <c r="E183" s="8" t="s">
        <v>7</v>
      </c>
      <c r="F183" s="8">
        <v>78040</v>
      </c>
      <c r="G183" s="8" t="s">
        <v>25</v>
      </c>
      <c r="H183" s="8">
        <v>524</v>
      </c>
      <c r="I183" s="8" t="s">
        <v>9</v>
      </c>
      <c r="J183" s="8">
        <v>1927960</v>
      </c>
      <c r="K183" s="8">
        <v>5</v>
      </c>
      <c r="L183" s="8">
        <v>12.93</v>
      </c>
      <c r="M183" s="8">
        <v>4154.75</v>
      </c>
      <c r="N183" s="8" t="s">
        <v>27</v>
      </c>
      <c r="O183" s="8" t="s">
        <v>11</v>
      </c>
      <c r="P183" s="9">
        <v>45231</v>
      </c>
      <c r="Q183" s="8" t="s">
        <v>29</v>
      </c>
      <c r="R183" s="10">
        <v>1</v>
      </c>
    </row>
    <row r="184" spans="1:18" x14ac:dyDescent="0.3">
      <c r="A184" s="7" t="s">
        <v>218</v>
      </c>
      <c r="B184" s="8" t="s">
        <v>24</v>
      </c>
      <c r="C184" s="8">
        <v>38</v>
      </c>
      <c r="D184" s="8" t="s">
        <v>6</v>
      </c>
      <c r="E184" s="8" t="s">
        <v>7</v>
      </c>
      <c r="F184" s="8">
        <v>46023</v>
      </c>
      <c r="G184" s="8" t="s">
        <v>25</v>
      </c>
      <c r="H184" s="8">
        <v>658</v>
      </c>
      <c r="I184" s="8" t="s">
        <v>16</v>
      </c>
      <c r="J184" s="8">
        <v>246024</v>
      </c>
      <c r="K184" s="8">
        <v>10</v>
      </c>
      <c r="L184" s="8">
        <v>10.49</v>
      </c>
      <c r="M184" s="8">
        <v>215.07</v>
      </c>
      <c r="N184" s="8" t="s">
        <v>8</v>
      </c>
      <c r="O184" s="8" t="s">
        <v>22</v>
      </c>
      <c r="P184" s="9">
        <v>45114</v>
      </c>
      <c r="Q184" s="8" t="s">
        <v>12</v>
      </c>
      <c r="R184" s="10">
        <v>0</v>
      </c>
    </row>
    <row r="185" spans="1:18" x14ac:dyDescent="0.3">
      <c r="A185" s="7" t="s">
        <v>219</v>
      </c>
      <c r="B185" s="8" t="s">
        <v>47</v>
      </c>
      <c r="C185" s="8">
        <v>36</v>
      </c>
      <c r="D185" s="8" t="s">
        <v>6</v>
      </c>
      <c r="E185" s="8" t="s">
        <v>21</v>
      </c>
      <c r="F185" s="8">
        <v>26295</v>
      </c>
      <c r="G185" s="8" t="s">
        <v>15</v>
      </c>
      <c r="H185" s="8">
        <v>588</v>
      </c>
      <c r="I185" s="8" t="s">
        <v>16</v>
      </c>
      <c r="J185" s="8">
        <v>721492</v>
      </c>
      <c r="K185" s="8">
        <v>15</v>
      </c>
      <c r="L185" s="8">
        <v>10.19</v>
      </c>
      <c r="M185" s="8">
        <v>408.44</v>
      </c>
      <c r="N185" s="8" t="s">
        <v>10</v>
      </c>
      <c r="O185" s="8" t="s">
        <v>18</v>
      </c>
      <c r="P185" s="9">
        <v>45218</v>
      </c>
      <c r="Q185" s="8" t="s">
        <v>12</v>
      </c>
      <c r="R185" s="10">
        <v>0</v>
      </c>
    </row>
    <row r="186" spans="1:18" x14ac:dyDescent="0.3">
      <c r="A186" s="7" t="s">
        <v>220</v>
      </c>
      <c r="B186" s="8" t="s">
        <v>45</v>
      </c>
      <c r="C186" s="8">
        <v>25</v>
      </c>
      <c r="D186" s="8" t="s">
        <v>34</v>
      </c>
      <c r="E186" s="8" t="s">
        <v>21</v>
      </c>
      <c r="F186" s="8">
        <v>78490</v>
      </c>
      <c r="G186" s="8" t="s">
        <v>25</v>
      </c>
      <c r="H186" s="8">
        <v>372</v>
      </c>
      <c r="I186" s="8" t="s">
        <v>9</v>
      </c>
      <c r="J186" s="8">
        <v>1540886</v>
      </c>
      <c r="K186" s="8">
        <v>20</v>
      </c>
      <c r="L186" s="8">
        <v>10.83</v>
      </c>
      <c r="M186" s="8">
        <v>695.32</v>
      </c>
      <c r="N186" s="8" t="s">
        <v>8</v>
      </c>
      <c r="O186" s="8" t="s">
        <v>18</v>
      </c>
      <c r="P186" s="9">
        <v>45289</v>
      </c>
      <c r="Q186" s="8" t="s">
        <v>43</v>
      </c>
      <c r="R186" s="10">
        <v>0</v>
      </c>
    </row>
    <row r="187" spans="1:18" x14ac:dyDescent="0.3">
      <c r="A187" s="7" t="s">
        <v>221</v>
      </c>
      <c r="B187" s="8" t="s">
        <v>36</v>
      </c>
      <c r="C187" s="8">
        <v>62</v>
      </c>
      <c r="D187" s="8" t="s">
        <v>31</v>
      </c>
      <c r="E187" s="8" t="s">
        <v>7</v>
      </c>
      <c r="F187" s="8">
        <v>90513</v>
      </c>
      <c r="G187" s="8" t="s">
        <v>8</v>
      </c>
      <c r="H187" s="8">
        <v>501</v>
      </c>
      <c r="I187" s="8" t="s">
        <v>9</v>
      </c>
      <c r="J187" s="8">
        <v>708890</v>
      </c>
      <c r="K187" s="8">
        <v>15</v>
      </c>
      <c r="L187" s="8">
        <v>7.26</v>
      </c>
      <c r="M187" s="8">
        <v>285.92</v>
      </c>
      <c r="N187" s="8" t="s">
        <v>10</v>
      </c>
      <c r="O187" s="8" t="s">
        <v>18</v>
      </c>
      <c r="P187" s="9">
        <v>45113</v>
      </c>
      <c r="Q187" s="8" t="s">
        <v>12</v>
      </c>
      <c r="R187" s="10">
        <v>0</v>
      </c>
    </row>
    <row r="188" spans="1:18" x14ac:dyDescent="0.3">
      <c r="A188" s="7" t="s">
        <v>222</v>
      </c>
      <c r="B188" s="8" t="s">
        <v>45</v>
      </c>
      <c r="C188" s="8">
        <v>40</v>
      </c>
      <c r="D188" s="8" t="s">
        <v>6</v>
      </c>
      <c r="E188" s="8" t="s">
        <v>21</v>
      </c>
      <c r="F188" s="8">
        <v>78184</v>
      </c>
      <c r="G188" s="8" t="s">
        <v>25</v>
      </c>
      <c r="H188" s="8">
        <v>812</v>
      </c>
      <c r="I188" s="8" t="s">
        <v>40</v>
      </c>
      <c r="J188" s="8">
        <v>1245772</v>
      </c>
      <c r="K188" s="8">
        <v>10</v>
      </c>
      <c r="L188" s="8">
        <v>14.95</v>
      </c>
      <c r="M188" s="8">
        <v>1552.02</v>
      </c>
      <c r="N188" s="8" t="s">
        <v>8</v>
      </c>
      <c r="O188" s="8" t="s">
        <v>22</v>
      </c>
      <c r="P188" s="9">
        <v>44920</v>
      </c>
      <c r="Q188" s="8" t="s">
        <v>12</v>
      </c>
      <c r="R188" s="10">
        <v>0</v>
      </c>
    </row>
    <row r="189" spans="1:18" x14ac:dyDescent="0.3">
      <c r="A189" s="7" t="s">
        <v>223</v>
      </c>
      <c r="B189" s="8" t="s">
        <v>52</v>
      </c>
      <c r="C189" s="8">
        <v>28</v>
      </c>
      <c r="D189" s="8" t="s">
        <v>34</v>
      </c>
      <c r="E189" s="8" t="s">
        <v>21</v>
      </c>
      <c r="F189" s="8">
        <v>59178</v>
      </c>
      <c r="G189" s="8" t="s">
        <v>25</v>
      </c>
      <c r="H189" s="8">
        <v>396</v>
      </c>
      <c r="I189" s="8" t="s">
        <v>9</v>
      </c>
      <c r="J189" s="8">
        <v>1327151</v>
      </c>
      <c r="K189" s="8">
        <v>5</v>
      </c>
      <c r="L189" s="8">
        <v>8.82</v>
      </c>
      <c r="M189" s="8">
        <v>1950.91</v>
      </c>
      <c r="N189" s="8" t="s">
        <v>42</v>
      </c>
      <c r="O189" s="8" t="s">
        <v>18</v>
      </c>
      <c r="P189" s="9">
        <v>44636</v>
      </c>
      <c r="Q189" s="8" t="s">
        <v>12</v>
      </c>
      <c r="R189" s="10">
        <v>0</v>
      </c>
    </row>
    <row r="190" spans="1:18" x14ac:dyDescent="0.3">
      <c r="A190" s="7" t="s">
        <v>224</v>
      </c>
      <c r="B190" s="8" t="s">
        <v>47</v>
      </c>
      <c r="C190" s="8">
        <v>44</v>
      </c>
      <c r="D190" s="8" t="s">
        <v>6</v>
      </c>
      <c r="E190" s="8" t="s">
        <v>7</v>
      </c>
      <c r="F190" s="8">
        <v>102097</v>
      </c>
      <c r="G190" s="8" t="s">
        <v>15</v>
      </c>
      <c r="H190" s="8">
        <v>707</v>
      </c>
      <c r="I190" s="8" t="s">
        <v>40</v>
      </c>
      <c r="J190" s="8">
        <v>1365547</v>
      </c>
      <c r="K190" s="8">
        <v>10</v>
      </c>
      <c r="L190" s="8">
        <v>7.42</v>
      </c>
      <c r="M190" s="8">
        <v>844.36</v>
      </c>
      <c r="N190" s="8" t="s">
        <v>10</v>
      </c>
      <c r="O190" s="8" t="s">
        <v>11</v>
      </c>
      <c r="P190" s="9">
        <v>45170</v>
      </c>
      <c r="Q190" s="8" t="s">
        <v>43</v>
      </c>
      <c r="R190" s="10">
        <v>0</v>
      </c>
    </row>
    <row r="191" spans="1:18" x14ac:dyDescent="0.3">
      <c r="A191" s="7" t="s">
        <v>225</v>
      </c>
      <c r="B191" s="8" t="s">
        <v>45</v>
      </c>
      <c r="C191" s="8">
        <v>59</v>
      </c>
      <c r="D191" s="8" t="s">
        <v>31</v>
      </c>
      <c r="E191" s="8" t="s">
        <v>21</v>
      </c>
      <c r="F191" s="8">
        <v>149001</v>
      </c>
      <c r="G191" s="8" t="s">
        <v>15</v>
      </c>
      <c r="H191" s="8">
        <v>632</v>
      </c>
      <c r="I191" s="8" t="s">
        <v>16</v>
      </c>
      <c r="J191" s="8">
        <v>1738123</v>
      </c>
      <c r="K191" s="8">
        <v>10</v>
      </c>
      <c r="L191" s="8">
        <v>11.26</v>
      </c>
      <c r="M191" s="8">
        <v>1630.94</v>
      </c>
      <c r="N191" s="8" t="s">
        <v>10</v>
      </c>
      <c r="O191" s="8" t="s">
        <v>18</v>
      </c>
      <c r="P191" s="9">
        <v>44712</v>
      </c>
      <c r="Q191" s="8" t="s">
        <v>43</v>
      </c>
      <c r="R191" s="10">
        <v>0</v>
      </c>
    </row>
    <row r="192" spans="1:18" x14ac:dyDescent="0.3">
      <c r="A192" s="7" t="s">
        <v>226</v>
      </c>
      <c r="B192" s="8" t="s">
        <v>36</v>
      </c>
      <c r="C192" s="8">
        <v>39</v>
      </c>
      <c r="D192" s="8" t="s">
        <v>6</v>
      </c>
      <c r="E192" s="8" t="s">
        <v>7</v>
      </c>
      <c r="F192" s="8">
        <v>35204</v>
      </c>
      <c r="G192" s="8" t="s">
        <v>8</v>
      </c>
      <c r="H192" s="8">
        <v>622</v>
      </c>
      <c r="I192" s="8" t="s">
        <v>16</v>
      </c>
      <c r="J192" s="8">
        <v>1195891</v>
      </c>
      <c r="K192" s="8">
        <v>10</v>
      </c>
      <c r="L192" s="8">
        <v>10.68</v>
      </c>
      <c r="M192" s="8">
        <v>1064.3399999999999</v>
      </c>
      <c r="N192" s="8" t="s">
        <v>8</v>
      </c>
      <c r="O192" s="8" t="s">
        <v>11</v>
      </c>
      <c r="P192" s="9">
        <v>45171</v>
      </c>
      <c r="Q192" s="8" t="s">
        <v>12</v>
      </c>
      <c r="R192" s="10">
        <v>0</v>
      </c>
    </row>
    <row r="193" spans="1:18" x14ac:dyDescent="0.3">
      <c r="A193" s="7" t="s">
        <v>227</v>
      </c>
      <c r="B193" s="8" t="s">
        <v>45</v>
      </c>
      <c r="C193" s="8">
        <v>45</v>
      </c>
      <c r="D193" s="8" t="s">
        <v>6</v>
      </c>
      <c r="E193" s="8" t="s">
        <v>7</v>
      </c>
      <c r="F193" s="8">
        <v>109172</v>
      </c>
      <c r="G193" s="8" t="s">
        <v>8</v>
      </c>
      <c r="H193" s="8">
        <v>547</v>
      </c>
      <c r="I193" s="8" t="s">
        <v>9</v>
      </c>
      <c r="J193" s="8">
        <v>798076</v>
      </c>
      <c r="K193" s="8">
        <v>20</v>
      </c>
      <c r="L193" s="8">
        <v>14.48</v>
      </c>
      <c r="M193" s="8">
        <v>481.51</v>
      </c>
      <c r="N193" s="8" t="s">
        <v>27</v>
      </c>
      <c r="O193" s="8" t="s">
        <v>22</v>
      </c>
      <c r="P193" s="9">
        <v>44889</v>
      </c>
      <c r="Q193" s="8" t="s">
        <v>12</v>
      </c>
      <c r="R193" s="10">
        <v>0</v>
      </c>
    </row>
    <row r="194" spans="1:18" x14ac:dyDescent="0.3">
      <c r="A194" s="7" t="s">
        <v>228</v>
      </c>
      <c r="B194" s="8" t="s">
        <v>39</v>
      </c>
      <c r="C194" s="8">
        <v>65</v>
      </c>
      <c r="D194" s="8" t="s">
        <v>31</v>
      </c>
      <c r="E194" s="8" t="s">
        <v>21</v>
      </c>
      <c r="F194" s="8">
        <v>74605</v>
      </c>
      <c r="G194" s="8" t="s">
        <v>15</v>
      </c>
      <c r="H194" s="8">
        <v>568</v>
      </c>
      <c r="I194" s="8" t="s">
        <v>16</v>
      </c>
      <c r="J194" s="8">
        <v>1551467</v>
      </c>
      <c r="K194" s="8">
        <v>10</v>
      </c>
      <c r="L194" s="8">
        <v>10.66</v>
      </c>
      <c r="M194" s="8">
        <v>1378.22</v>
      </c>
      <c r="N194" s="8" t="s">
        <v>27</v>
      </c>
      <c r="O194" s="8" t="s">
        <v>28</v>
      </c>
      <c r="P194" s="9">
        <v>44688</v>
      </c>
      <c r="Q194" s="8" t="s">
        <v>12</v>
      </c>
      <c r="R194" s="10">
        <v>0</v>
      </c>
    </row>
    <row r="195" spans="1:18" x14ac:dyDescent="0.3">
      <c r="A195" s="7" t="s">
        <v>229</v>
      </c>
      <c r="B195" s="8" t="s">
        <v>5</v>
      </c>
      <c r="C195" s="8">
        <v>60</v>
      </c>
      <c r="D195" s="8" t="s">
        <v>31</v>
      </c>
      <c r="E195" s="8" t="s">
        <v>7</v>
      </c>
      <c r="F195" s="8">
        <v>78784</v>
      </c>
      <c r="G195" s="8" t="s">
        <v>15</v>
      </c>
      <c r="H195" s="8">
        <v>484</v>
      </c>
      <c r="I195" s="8" t="s">
        <v>9</v>
      </c>
      <c r="J195" s="8">
        <v>632796</v>
      </c>
      <c r="K195" s="8">
        <v>15</v>
      </c>
      <c r="L195" s="8">
        <v>9.52</v>
      </c>
      <c r="M195" s="8">
        <v>334.68</v>
      </c>
      <c r="N195" s="8" t="s">
        <v>17</v>
      </c>
      <c r="O195" s="8" t="s">
        <v>18</v>
      </c>
      <c r="P195" s="9">
        <v>44732</v>
      </c>
      <c r="Q195" s="8" t="s">
        <v>43</v>
      </c>
      <c r="R195" s="10">
        <v>0</v>
      </c>
    </row>
    <row r="196" spans="1:18" x14ac:dyDescent="0.3">
      <c r="A196" s="7" t="s">
        <v>230</v>
      </c>
      <c r="B196" s="8" t="s">
        <v>33</v>
      </c>
      <c r="C196" s="8">
        <v>23</v>
      </c>
      <c r="D196" s="8" t="s">
        <v>34</v>
      </c>
      <c r="E196" s="8" t="s">
        <v>7</v>
      </c>
      <c r="F196" s="8">
        <v>61104</v>
      </c>
      <c r="G196" s="8" t="s">
        <v>15</v>
      </c>
      <c r="H196" s="8">
        <v>439</v>
      </c>
      <c r="I196" s="8" t="s">
        <v>9</v>
      </c>
      <c r="J196" s="8">
        <v>1173661</v>
      </c>
      <c r="K196" s="8">
        <v>20</v>
      </c>
      <c r="L196" s="8">
        <v>7.14</v>
      </c>
      <c r="M196" s="8">
        <v>349.16</v>
      </c>
      <c r="N196" s="8" t="s">
        <v>42</v>
      </c>
      <c r="O196" s="8" t="s">
        <v>22</v>
      </c>
      <c r="P196" s="9">
        <v>45186</v>
      </c>
      <c r="Q196" s="8" t="s">
        <v>12</v>
      </c>
      <c r="R196" s="10">
        <v>0</v>
      </c>
    </row>
    <row r="197" spans="1:18" x14ac:dyDescent="0.3">
      <c r="A197" s="7" t="s">
        <v>231</v>
      </c>
      <c r="B197" s="8" t="s">
        <v>14</v>
      </c>
      <c r="C197" s="8">
        <v>32</v>
      </c>
      <c r="D197" s="8" t="s">
        <v>6</v>
      </c>
      <c r="E197" s="8" t="s">
        <v>21</v>
      </c>
      <c r="F197" s="8">
        <v>34122</v>
      </c>
      <c r="G197" s="8" t="s">
        <v>25</v>
      </c>
      <c r="H197" s="8">
        <v>597</v>
      </c>
      <c r="I197" s="8" t="s">
        <v>16</v>
      </c>
      <c r="J197" s="8">
        <v>1458504</v>
      </c>
      <c r="K197" s="8">
        <v>10</v>
      </c>
      <c r="L197" s="8">
        <v>8.23</v>
      </c>
      <c r="M197" s="8">
        <v>1000.29</v>
      </c>
      <c r="N197" s="8" t="s">
        <v>17</v>
      </c>
      <c r="O197" s="8" t="s">
        <v>18</v>
      </c>
      <c r="P197" s="9">
        <v>45265</v>
      </c>
      <c r="Q197" s="8" t="s">
        <v>29</v>
      </c>
      <c r="R197" s="10">
        <v>1</v>
      </c>
    </row>
    <row r="198" spans="1:18" x14ac:dyDescent="0.3">
      <c r="A198" s="7" t="s">
        <v>232</v>
      </c>
      <c r="B198" s="8" t="s">
        <v>33</v>
      </c>
      <c r="C198" s="8">
        <v>28</v>
      </c>
      <c r="D198" s="8" t="s">
        <v>34</v>
      </c>
      <c r="E198" s="8" t="s">
        <v>7</v>
      </c>
      <c r="F198" s="8">
        <v>50238</v>
      </c>
      <c r="G198" s="8" t="s">
        <v>15</v>
      </c>
      <c r="H198" s="8">
        <v>412</v>
      </c>
      <c r="I198" s="8" t="s">
        <v>9</v>
      </c>
      <c r="J198" s="8">
        <v>705891</v>
      </c>
      <c r="K198" s="8">
        <v>20</v>
      </c>
      <c r="L198" s="8">
        <v>7.46</v>
      </c>
      <c r="M198" s="8">
        <v>219.41</v>
      </c>
      <c r="N198" s="8" t="s">
        <v>10</v>
      </c>
      <c r="O198" s="8" t="s">
        <v>28</v>
      </c>
      <c r="P198" s="9">
        <v>45070</v>
      </c>
      <c r="Q198" s="8" t="s">
        <v>12</v>
      </c>
      <c r="R198" s="10">
        <v>0</v>
      </c>
    </row>
    <row r="199" spans="1:18" x14ac:dyDescent="0.3">
      <c r="A199" s="7" t="s">
        <v>233</v>
      </c>
      <c r="B199" s="8" t="s">
        <v>33</v>
      </c>
      <c r="C199" s="8">
        <v>53</v>
      </c>
      <c r="D199" s="8" t="s">
        <v>31</v>
      </c>
      <c r="E199" s="8" t="s">
        <v>7</v>
      </c>
      <c r="F199" s="8">
        <v>147046</v>
      </c>
      <c r="G199" s="8" t="s">
        <v>15</v>
      </c>
      <c r="H199" s="8">
        <v>693</v>
      </c>
      <c r="I199" s="8" t="s">
        <v>16</v>
      </c>
      <c r="J199" s="8">
        <v>221863</v>
      </c>
      <c r="K199" s="8">
        <v>15</v>
      </c>
      <c r="L199" s="8">
        <v>12.12</v>
      </c>
      <c r="M199" s="8">
        <v>149.38999999999999</v>
      </c>
      <c r="N199" s="8" t="s">
        <v>17</v>
      </c>
      <c r="O199" s="8" t="s">
        <v>28</v>
      </c>
      <c r="P199" s="9">
        <v>45274</v>
      </c>
      <c r="Q199" s="8" t="s">
        <v>43</v>
      </c>
      <c r="R199" s="10">
        <v>0</v>
      </c>
    </row>
    <row r="200" spans="1:18" x14ac:dyDescent="0.3">
      <c r="A200" s="7" t="s">
        <v>234</v>
      </c>
      <c r="B200" s="8" t="s">
        <v>24</v>
      </c>
      <c r="C200" s="8">
        <v>37</v>
      </c>
      <c r="D200" s="8" t="s">
        <v>6</v>
      </c>
      <c r="E200" s="8" t="s">
        <v>7</v>
      </c>
      <c r="F200" s="8">
        <v>39192</v>
      </c>
      <c r="G200" s="8" t="s">
        <v>15</v>
      </c>
      <c r="H200" s="8">
        <v>481</v>
      </c>
      <c r="I200" s="8" t="s">
        <v>9</v>
      </c>
      <c r="J200" s="8">
        <v>796923</v>
      </c>
      <c r="K200" s="8">
        <v>20</v>
      </c>
      <c r="L200" s="8">
        <v>14.12</v>
      </c>
      <c r="M200" s="8">
        <v>468.86</v>
      </c>
      <c r="N200" s="8" t="s">
        <v>8</v>
      </c>
      <c r="O200" s="8" t="s">
        <v>11</v>
      </c>
      <c r="P200" s="9">
        <v>45187</v>
      </c>
      <c r="Q200" s="8" t="s">
        <v>12</v>
      </c>
      <c r="R200" s="10">
        <v>0</v>
      </c>
    </row>
    <row r="201" spans="1:18" x14ac:dyDescent="0.3">
      <c r="A201" s="7" t="s">
        <v>235</v>
      </c>
      <c r="B201" s="8" t="s">
        <v>20</v>
      </c>
      <c r="C201" s="8">
        <v>28</v>
      </c>
      <c r="D201" s="8" t="s">
        <v>34</v>
      </c>
      <c r="E201" s="8" t="s">
        <v>21</v>
      </c>
      <c r="F201" s="8">
        <v>71266</v>
      </c>
      <c r="G201" s="8" t="s">
        <v>8</v>
      </c>
      <c r="H201" s="8">
        <v>723</v>
      </c>
      <c r="I201" s="8" t="s">
        <v>40</v>
      </c>
      <c r="J201" s="8">
        <v>311862</v>
      </c>
      <c r="K201" s="8">
        <v>5</v>
      </c>
      <c r="L201" s="8">
        <v>14.39</v>
      </c>
      <c r="M201" s="8">
        <v>747.95</v>
      </c>
      <c r="N201" s="8" t="s">
        <v>42</v>
      </c>
      <c r="O201" s="8" t="s">
        <v>18</v>
      </c>
      <c r="P201" s="9">
        <v>44798</v>
      </c>
      <c r="Q201" s="8" t="s">
        <v>29</v>
      </c>
      <c r="R201" s="10">
        <v>1</v>
      </c>
    </row>
    <row r="202" spans="1:18" x14ac:dyDescent="0.3">
      <c r="A202" s="7" t="s">
        <v>236</v>
      </c>
      <c r="B202" s="8" t="s">
        <v>47</v>
      </c>
      <c r="C202" s="8">
        <v>23</v>
      </c>
      <c r="D202" s="8" t="s">
        <v>34</v>
      </c>
      <c r="E202" s="8" t="s">
        <v>7</v>
      </c>
      <c r="F202" s="8">
        <v>135914</v>
      </c>
      <c r="G202" s="8" t="s">
        <v>25</v>
      </c>
      <c r="H202" s="8">
        <v>664</v>
      </c>
      <c r="I202" s="8" t="s">
        <v>16</v>
      </c>
      <c r="J202" s="8">
        <v>1870257</v>
      </c>
      <c r="K202" s="8">
        <v>20</v>
      </c>
      <c r="L202" s="8">
        <v>8.8699999999999992</v>
      </c>
      <c r="M202" s="8">
        <v>691.22</v>
      </c>
      <c r="N202" s="8" t="s">
        <v>42</v>
      </c>
      <c r="O202" s="8" t="s">
        <v>18</v>
      </c>
      <c r="P202" s="9">
        <v>44954</v>
      </c>
      <c r="Q202" s="8" t="s">
        <v>12</v>
      </c>
      <c r="R202" s="10">
        <v>0</v>
      </c>
    </row>
    <row r="203" spans="1:18" x14ac:dyDescent="0.3">
      <c r="A203" s="7" t="s">
        <v>237</v>
      </c>
      <c r="B203" s="8" t="s">
        <v>52</v>
      </c>
      <c r="C203" s="8">
        <v>57</v>
      </c>
      <c r="D203" s="8" t="s">
        <v>31</v>
      </c>
      <c r="E203" s="8" t="s">
        <v>21</v>
      </c>
      <c r="F203" s="8">
        <v>33930</v>
      </c>
      <c r="G203" s="8" t="s">
        <v>25</v>
      </c>
      <c r="H203" s="8">
        <v>350</v>
      </c>
      <c r="I203" s="8" t="s">
        <v>9</v>
      </c>
      <c r="J203" s="8">
        <v>1959048</v>
      </c>
      <c r="K203" s="8">
        <v>10</v>
      </c>
      <c r="L203" s="8">
        <v>13.52</v>
      </c>
      <c r="M203" s="8">
        <v>2207.19</v>
      </c>
      <c r="N203" s="8" t="s">
        <v>17</v>
      </c>
      <c r="O203" s="8" t="s">
        <v>11</v>
      </c>
      <c r="P203" s="9">
        <v>44705</v>
      </c>
      <c r="Q203" s="8" t="s">
        <v>12</v>
      </c>
      <c r="R203" s="10">
        <v>0</v>
      </c>
    </row>
    <row r="204" spans="1:18" x14ac:dyDescent="0.3">
      <c r="A204" s="7" t="s">
        <v>238</v>
      </c>
      <c r="B204" s="8" t="s">
        <v>24</v>
      </c>
      <c r="C204" s="8">
        <v>30</v>
      </c>
      <c r="D204" s="8" t="s">
        <v>6</v>
      </c>
      <c r="E204" s="8" t="s">
        <v>7</v>
      </c>
      <c r="F204" s="8">
        <v>97135</v>
      </c>
      <c r="G204" s="8" t="s">
        <v>25</v>
      </c>
      <c r="H204" s="8">
        <v>473</v>
      </c>
      <c r="I204" s="8" t="s">
        <v>9</v>
      </c>
      <c r="J204" s="8">
        <v>158785</v>
      </c>
      <c r="K204" s="8">
        <v>15</v>
      </c>
      <c r="L204" s="8">
        <v>7.14</v>
      </c>
      <c r="M204" s="8">
        <v>62.98</v>
      </c>
      <c r="N204" s="8" t="s">
        <v>17</v>
      </c>
      <c r="O204" s="8" t="s">
        <v>28</v>
      </c>
      <c r="P204" s="9">
        <v>44567</v>
      </c>
      <c r="Q204" s="8" t="s">
        <v>12</v>
      </c>
      <c r="R204" s="10">
        <v>0</v>
      </c>
    </row>
    <row r="205" spans="1:18" x14ac:dyDescent="0.3">
      <c r="A205" s="7" t="s">
        <v>239</v>
      </c>
      <c r="B205" s="8" t="s">
        <v>45</v>
      </c>
      <c r="C205" s="8">
        <v>28</v>
      </c>
      <c r="D205" s="8" t="s">
        <v>34</v>
      </c>
      <c r="E205" s="8" t="s">
        <v>21</v>
      </c>
      <c r="F205" s="8">
        <v>59718</v>
      </c>
      <c r="G205" s="8" t="s">
        <v>15</v>
      </c>
      <c r="H205" s="8">
        <v>606</v>
      </c>
      <c r="I205" s="8" t="s">
        <v>16</v>
      </c>
      <c r="J205" s="8">
        <v>312076</v>
      </c>
      <c r="K205" s="8">
        <v>10</v>
      </c>
      <c r="L205" s="8">
        <v>8.6199999999999992</v>
      </c>
      <c r="M205" s="8">
        <v>224.17</v>
      </c>
      <c r="N205" s="8" t="s">
        <v>17</v>
      </c>
      <c r="O205" s="8" t="s">
        <v>22</v>
      </c>
      <c r="P205" s="9">
        <v>45165</v>
      </c>
      <c r="Q205" s="8" t="s">
        <v>12</v>
      </c>
      <c r="R205" s="10">
        <v>0</v>
      </c>
    </row>
    <row r="206" spans="1:18" x14ac:dyDescent="0.3">
      <c r="A206" s="7" t="s">
        <v>240</v>
      </c>
      <c r="B206" s="8" t="s">
        <v>36</v>
      </c>
      <c r="C206" s="8">
        <v>21</v>
      </c>
      <c r="D206" s="8" t="s">
        <v>34</v>
      </c>
      <c r="E206" s="8" t="s">
        <v>21</v>
      </c>
      <c r="F206" s="8">
        <v>33557</v>
      </c>
      <c r="G206" s="8" t="s">
        <v>15</v>
      </c>
      <c r="H206" s="8">
        <v>523</v>
      </c>
      <c r="I206" s="8" t="s">
        <v>9</v>
      </c>
      <c r="J206" s="8">
        <v>1922621</v>
      </c>
      <c r="K206" s="8">
        <v>20</v>
      </c>
      <c r="L206" s="8">
        <v>11.92</v>
      </c>
      <c r="M206" s="8">
        <v>954.9</v>
      </c>
      <c r="N206" s="8" t="s">
        <v>17</v>
      </c>
      <c r="O206" s="8" t="s">
        <v>11</v>
      </c>
      <c r="P206" s="9">
        <v>45421</v>
      </c>
      <c r="Q206" s="8" t="s">
        <v>43</v>
      </c>
      <c r="R206" s="10">
        <v>0</v>
      </c>
    </row>
    <row r="207" spans="1:18" x14ac:dyDescent="0.3">
      <c r="A207" s="7" t="s">
        <v>241</v>
      </c>
      <c r="B207" s="8" t="s">
        <v>14</v>
      </c>
      <c r="C207" s="8">
        <v>34</v>
      </c>
      <c r="D207" s="8" t="s">
        <v>6</v>
      </c>
      <c r="E207" s="8" t="s">
        <v>7</v>
      </c>
      <c r="F207" s="8">
        <v>91451</v>
      </c>
      <c r="G207" s="8" t="s">
        <v>15</v>
      </c>
      <c r="H207" s="8">
        <v>557</v>
      </c>
      <c r="I207" s="8" t="s">
        <v>16</v>
      </c>
      <c r="J207" s="8">
        <v>947734</v>
      </c>
      <c r="K207" s="8">
        <v>20</v>
      </c>
      <c r="L207" s="8">
        <v>7.83</v>
      </c>
      <c r="M207" s="8">
        <v>309.2</v>
      </c>
      <c r="N207" s="8" t="s">
        <v>17</v>
      </c>
      <c r="O207" s="8" t="s">
        <v>22</v>
      </c>
      <c r="P207" s="9">
        <v>44584</v>
      </c>
      <c r="Q207" s="8" t="s">
        <v>12</v>
      </c>
      <c r="R207" s="10">
        <v>0</v>
      </c>
    </row>
    <row r="208" spans="1:18" x14ac:dyDescent="0.3">
      <c r="A208" s="7" t="s">
        <v>242</v>
      </c>
      <c r="B208" s="8" t="s">
        <v>52</v>
      </c>
      <c r="C208" s="8">
        <v>30</v>
      </c>
      <c r="D208" s="8" t="s">
        <v>6</v>
      </c>
      <c r="E208" s="8" t="s">
        <v>7</v>
      </c>
      <c r="F208" s="8">
        <v>118351</v>
      </c>
      <c r="G208" s="8" t="s">
        <v>15</v>
      </c>
      <c r="H208" s="8">
        <v>469</v>
      </c>
      <c r="I208" s="8" t="s">
        <v>9</v>
      </c>
      <c r="J208" s="8">
        <v>502367</v>
      </c>
      <c r="K208" s="8">
        <v>15</v>
      </c>
      <c r="L208" s="8">
        <v>8.3800000000000008</v>
      </c>
      <c r="M208" s="8">
        <v>233.88</v>
      </c>
      <c r="N208" s="8" t="s">
        <v>10</v>
      </c>
      <c r="O208" s="8" t="s">
        <v>11</v>
      </c>
      <c r="P208" s="9">
        <v>44994</v>
      </c>
      <c r="Q208" s="8" t="s">
        <v>12</v>
      </c>
      <c r="R208" s="10">
        <v>0</v>
      </c>
    </row>
    <row r="209" spans="1:18" x14ac:dyDescent="0.3">
      <c r="A209" s="7" t="s">
        <v>243</v>
      </c>
      <c r="B209" s="8" t="s">
        <v>5</v>
      </c>
      <c r="C209" s="8">
        <v>58</v>
      </c>
      <c r="D209" s="8" t="s">
        <v>31</v>
      </c>
      <c r="E209" s="8" t="s">
        <v>21</v>
      </c>
      <c r="F209" s="8">
        <v>115340</v>
      </c>
      <c r="G209" s="8" t="s">
        <v>15</v>
      </c>
      <c r="H209" s="8">
        <v>546</v>
      </c>
      <c r="I209" s="8" t="s">
        <v>9</v>
      </c>
      <c r="J209" s="8">
        <v>195646</v>
      </c>
      <c r="K209" s="8">
        <v>5</v>
      </c>
      <c r="L209" s="8">
        <v>13.58</v>
      </c>
      <c r="M209" s="8">
        <v>442.81</v>
      </c>
      <c r="N209" s="8" t="s">
        <v>8</v>
      </c>
      <c r="O209" s="8" t="s">
        <v>11</v>
      </c>
      <c r="P209" s="9">
        <v>44743</v>
      </c>
      <c r="Q209" s="8" t="s">
        <v>12</v>
      </c>
      <c r="R209" s="10">
        <v>0</v>
      </c>
    </row>
    <row r="210" spans="1:18" x14ac:dyDescent="0.3">
      <c r="A210" s="7" t="s">
        <v>244</v>
      </c>
      <c r="B210" s="8" t="s">
        <v>52</v>
      </c>
      <c r="C210" s="8">
        <v>38</v>
      </c>
      <c r="D210" s="8" t="s">
        <v>6</v>
      </c>
      <c r="E210" s="8" t="s">
        <v>7</v>
      </c>
      <c r="F210" s="8">
        <v>77326</v>
      </c>
      <c r="G210" s="8" t="s">
        <v>25</v>
      </c>
      <c r="H210" s="8">
        <v>425</v>
      </c>
      <c r="I210" s="8" t="s">
        <v>9</v>
      </c>
      <c r="J210" s="8">
        <v>606861</v>
      </c>
      <c r="K210" s="8">
        <v>5</v>
      </c>
      <c r="L210" s="8">
        <v>7.88</v>
      </c>
      <c r="M210" s="8">
        <v>797.01</v>
      </c>
      <c r="N210" s="8" t="s">
        <v>10</v>
      </c>
      <c r="O210" s="8" t="s">
        <v>22</v>
      </c>
      <c r="P210" s="9">
        <v>45438</v>
      </c>
      <c r="Q210" s="8" t="s">
        <v>43</v>
      </c>
      <c r="R210" s="10">
        <v>0</v>
      </c>
    </row>
    <row r="211" spans="1:18" x14ac:dyDescent="0.3">
      <c r="A211" s="7" t="s">
        <v>245</v>
      </c>
      <c r="B211" s="8" t="s">
        <v>36</v>
      </c>
      <c r="C211" s="8">
        <v>52</v>
      </c>
      <c r="D211" s="8" t="s">
        <v>31</v>
      </c>
      <c r="E211" s="8" t="s">
        <v>7</v>
      </c>
      <c r="F211" s="8">
        <v>136206</v>
      </c>
      <c r="G211" s="8" t="s">
        <v>8</v>
      </c>
      <c r="H211" s="8">
        <v>847</v>
      </c>
      <c r="I211" s="8" t="s">
        <v>40</v>
      </c>
      <c r="J211" s="8">
        <v>1170140</v>
      </c>
      <c r="K211" s="8">
        <v>10</v>
      </c>
      <c r="L211" s="8">
        <v>12.91</v>
      </c>
      <c r="M211" s="8">
        <v>1258.8800000000001</v>
      </c>
      <c r="N211" s="8" t="s">
        <v>27</v>
      </c>
      <c r="O211" s="8" t="s">
        <v>22</v>
      </c>
      <c r="P211" s="9">
        <v>45281</v>
      </c>
      <c r="Q211" s="8" t="s">
        <v>43</v>
      </c>
      <c r="R211" s="10">
        <v>0</v>
      </c>
    </row>
    <row r="212" spans="1:18" x14ac:dyDescent="0.3">
      <c r="A212" s="7" t="s">
        <v>246</v>
      </c>
      <c r="B212" s="8" t="s">
        <v>14</v>
      </c>
      <c r="C212" s="8">
        <v>21</v>
      </c>
      <c r="D212" s="8" t="s">
        <v>34</v>
      </c>
      <c r="E212" s="8" t="s">
        <v>7</v>
      </c>
      <c r="F212" s="8">
        <v>59061</v>
      </c>
      <c r="G212" s="8" t="s">
        <v>8</v>
      </c>
      <c r="H212" s="8">
        <v>696</v>
      </c>
      <c r="I212" s="8" t="s">
        <v>16</v>
      </c>
      <c r="J212" s="8">
        <v>1657708</v>
      </c>
      <c r="K212" s="8">
        <v>15</v>
      </c>
      <c r="L212" s="8">
        <v>7.23</v>
      </c>
      <c r="M212" s="8">
        <v>665.85</v>
      </c>
      <c r="N212" s="8" t="s">
        <v>27</v>
      </c>
      <c r="O212" s="8" t="s">
        <v>22</v>
      </c>
      <c r="P212" s="9">
        <v>45142</v>
      </c>
      <c r="Q212" s="8" t="s">
        <v>12</v>
      </c>
      <c r="R212" s="10">
        <v>0</v>
      </c>
    </row>
    <row r="213" spans="1:18" x14ac:dyDescent="0.3">
      <c r="A213" s="7" t="s">
        <v>247</v>
      </c>
      <c r="B213" s="8" t="s">
        <v>47</v>
      </c>
      <c r="C213" s="8">
        <v>27</v>
      </c>
      <c r="D213" s="8" t="s">
        <v>34</v>
      </c>
      <c r="E213" s="8" t="s">
        <v>21</v>
      </c>
      <c r="F213" s="8">
        <v>54552</v>
      </c>
      <c r="G213" s="8" t="s">
        <v>25</v>
      </c>
      <c r="H213" s="8">
        <v>613</v>
      </c>
      <c r="I213" s="8" t="s">
        <v>16</v>
      </c>
      <c r="J213" s="8">
        <v>733785</v>
      </c>
      <c r="K213" s="8">
        <v>10</v>
      </c>
      <c r="L213" s="8">
        <v>13.15</v>
      </c>
      <c r="M213" s="8">
        <v>804.11</v>
      </c>
      <c r="N213" s="8" t="s">
        <v>17</v>
      </c>
      <c r="O213" s="8" t="s">
        <v>28</v>
      </c>
      <c r="P213" s="9">
        <v>45344</v>
      </c>
      <c r="Q213" s="8" t="s">
        <v>12</v>
      </c>
      <c r="R213" s="10">
        <v>0</v>
      </c>
    </row>
    <row r="214" spans="1:18" x14ac:dyDescent="0.3">
      <c r="A214" s="7" t="s">
        <v>248</v>
      </c>
      <c r="B214" s="8" t="s">
        <v>47</v>
      </c>
      <c r="C214" s="8">
        <v>25</v>
      </c>
      <c r="D214" s="8" t="s">
        <v>34</v>
      </c>
      <c r="E214" s="8" t="s">
        <v>21</v>
      </c>
      <c r="F214" s="8">
        <v>142458</v>
      </c>
      <c r="G214" s="8" t="s">
        <v>25</v>
      </c>
      <c r="H214" s="8">
        <v>792</v>
      </c>
      <c r="I214" s="8" t="s">
        <v>40</v>
      </c>
      <c r="J214" s="8">
        <v>663929</v>
      </c>
      <c r="K214" s="8">
        <v>20</v>
      </c>
      <c r="L214" s="8">
        <v>11.68</v>
      </c>
      <c r="M214" s="8">
        <v>323.11</v>
      </c>
      <c r="N214" s="8" t="s">
        <v>8</v>
      </c>
      <c r="O214" s="8" t="s">
        <v>11</v>
      </c>
      <c r="P214" s="9">
        <v>45280</v>
      </c>
      <c r="Q214" s="8" t="s">
        <v>12</v>
      </c>
      <c r="R214" s="10">
        <v>0</v>
      </c>
    </row>
    <row r="215" spans="1:18" x14ac:dyDescent="0.3">
      <c r="A215" s="7" t="s">
        <v>249</v>
      </c>
      <c r="B215" s="8" t="s">
        <v>33</v>
      </c>
      <c r="C215" s="8">
        <v>43</v>
      </c>
      <c r="D215" s="8" t="s">
        <v>6</v>
      </c>
      <c r="E215" s="8" t="s">
        <v>21</v>
      </c>
      <c r="F215" s="8">
        <v>39207</v>
      </c>
      <c r="G215" s="8" t="s">
        <v>25</v>
      </c>
      <c r="H215" s="8">
        <v>823</v>
      </c>
      <c r="I215" s="8" t="s">
        <v>40</v>
      </c>
      <c r="J215" s="8">
        <v>778600</v>
      </c>
      <c r="K215" s="8">
        <v>20</v>
      </c>
      <c r="L215" s="8">
        <v>13.65</v>
      </c>
      <c r="M215" s="8">
        <v>442.83</v>
      </c>
      <c r="N215" s="8" t="s">
        <v>27</v>
      </c>
      <c r="O215" s="8" t="s">
        <v>11</v>
      </c>
      <c r="P215" s="9">
        <v>45323</v>
      </c>
      <c r="Q215" s="8" t="s">
        <v>43</v>
      </c>
      <c r="R215" s="10">
        <v>0</v>
      </c>
    </row>
    <row r="216" spans="1:18" x14ac:dyDescent="0.3">
      <c r="A216" s="7" t="s">
        <v>250</v>
      </c>
      <c r="B216" s="8" t="s">
        <v>20</v>
      </c>
      <c r="C216" s="8">
        <v>27</v>
      </c>
      <c r="D216" s="8" t="s">
        <v>34</v>
      </c>
      <c r="E216" s="8" t="s">
        <v>7</v>
      </c>
      <c r="F216" s="8">
        <v>141215</v>
      </c>
      <c r="G216" s="8" t="s">
        <v>15</v>
      </c>
      <c r="H216" s="8">
        <v>763</v>
      </c>
      <c r="I216" s="8" t="s">
        <v>40</v>
      </c>
      <c r="J216" s="8">
        <v>793174</v>
      </c>
      <c r="K216" s="8">
        <v>15</v>
      </c>
      <c r="L216" s="8">
        <v>8.32</v>
      </c>
      <c r="M216" s="8">
        <v>366.62</v>
      </c>
      <c r="N216" s="8" t="s">
        <v>17</v>
      </c>
      <c r="O216" s="8" t="s">
        <v>11</v>
      </c>
      <c r="P216" s="9">
        <v>44651</v>
      </c>
      <c r="Q216" s="8" t="s">
        <v>43</v>
      </c>
      <c r="R216" s="10">
        <v>0</v>
      </c>
    </row>
    <row r="217" spans="1:18" x14ac:dyDescent="0.3">
      <c r="A217" s="7" t="s">
        <v>251</v>
      </c>
      <c r="B217" s="8" t="s">
        <v>24</v>
      </c>
      <c r="C217" s="8">
        <v>48</v>
      </c>
      <c r="D217" s="8" t="s">
        <v>31</v>
      </c>
      <c r="E217" s="8" t="s">
        <v>7</v>
      </c>
      <c r="F217" s="8">
        <v>129557</v>
      </c>
      <c r="G217" s="8" t="s">
        <v>8</v>
      </c>
      <c r="H217" s="8">
        <v>341</v>
      </c>
      <c r="I217" s="8" t="s">
        <v>9</v>
      </c>
      <c r="J217" s="8">
        <v>1332368</v>
      </c>
      <c r="K217" s="8">
        <v>15</v>
      </c>
      <c r="L217" s="8">
        <v>14.19</v>
      </c>
      <c r="M217" s="8">
        <v>1050.3499999999999</v>
      </c>
      <c r="N217" s="8" t="s">
        <v>42</v>
      </c>
      <c r="O217" s="8" t="s">
        <v>18</v>
      </c>
      <c r="P217" s="9">
        <v>44828</v>
      </c>
      <c r="Q217" s="8" t="s">
        <v>43</v>
      </c>
      <c r="R217" s="10">
        <v>0</v>
      </c>
    </row>
    <row r="218" spans="1:18" x14ac:dyDescent="0.3">
      <c r="A218" s="7" t="s">
        <v>252</v>
      </c>
      <c r="B218" s="8" t="s">
        <v>39</v>
      </c>
      <c r="C218" s="8">
        <v>46</v>
      </c>
      <c r="D218" s="8" t="s">
        <v>31</v>
      </c>
      <c r="E218" s="8" t="s">
        <v>21</v>
      </c>
      <c r="F218" s="8">
        <v>63851</v>
      </c>
      <c r="G218" s="8" t="s">
        <v>8</v>
      </c>
      <c r="H218" s="8">
        <v>348</v>
      </c>
      <c r="I218" s="8" t="s">
        <v>9</v>
      </c>
      <c r="J218" s="8">
        <v>380422</v>
      </c>
      <c r="K218" s="8">
        <v>15</v>
      </c>
      <c r="L218" s="8">
        <v>14.43</v>
      </c>
      <c r="M218" s="8">
        <v>304.97000000000003</v>
      </c>
      <c r="N218" s="8" t="s">
        <v>17</v>
      </c>
      <c r="O218" s="8" t="s">
        <v>18</v>
      </c>
      <c r="P218" s="9">
        <v>44585</v>
      </c>
      <c r="Q218" s="8" t="s">
        <v>29</v>
      </c>
      <c r="R218" s="10">
        <v>1</v>
      </c>
    </row>
    <row r="219" spans="1:18" x14ac:dyDescent="0.3">
      <c r="A219" s="7" t="s">
        <v>253</v>
      </c>
      <c r="B219" s="8" t="s">
        <v>33</v>
      </c>
      <c r="C219" s="8">
        <v>63</v>
      </c>
      <c r="D219" s="8" t="s">
        <v>31</v>
      </c>
      <c r="E219" s="8" t="s">
        <v>21</v>
      </c>
      <c r="F219" s="8">
        <v>54599</v>
      </c>
      <c r="G219" s="8" t="s">
        <v>15</v>
      </c>
      <c r="H219" s="8">
        <v>735</v>
      </c>
      <c r="I219" s="8" t="s">
        <v>40</v>
      </c>
      <c r="J219" s="8">
        <v>1997136</v>
      </c>
      <c r="K219" s="8">
        <v>10</v>
      </c>
      <c r="L219" s="8">
        <v>14.32</v>
      </c>
      <c r="M219" s="8">
        <v>2383.25</v>
      </c>
      <c r="N219" s="8" t="s">
        <v>42</v>
      </c>
      <c r="O219" s="8" t="s">
        <v>22</v>
      </c>
      <c r="P219" s="9">
        <v>45134</v>
      </c>
      <c r="Q219" s="8" t="s">
        <v>29</v>
      </c>
      <c r="R219" s="10">
        <v>1</v>
      </c>
    </row>
    <row r="220" spans="1:18" x14ac:dyDescent="0.3">
      <c r="A220" s="7" t="s">
        <v>254</v>
      </c>
      <c r="B220" s="8" t="s">
        <v>39</v>
      </c>
      <c r="C220" s="8">
        <v>51</v>
      </c>
      <c r="D220" s="8" t="s">
        <v>31</v>
      </c>
      <c r="E220" s="8" t="s">
        <v>7</v>
      </c>
      <c r="F220" s="8">
        <v>105667</v>
      </c>
      <c r="G220" s="8" t="s">
        <v>15</v>
      </c>
      <c r="H220" s="8">
        <v>554</v>
      </c>
      <c r="I220" s="8" t="s">
        <v>16</v>
      </c>
      <c r="J220" s="8">
        <v>196532</v>
      </c>
      <c r="K220" s="8">
        <v>10</v>
      </c>
      <c r="L220" s="8">
        <v>12.24</v>
      </c>
      <c r="M220" s="8">
        <v>200.46</v>
      </c>
      <c r="N220" s="8" t="s">
        <v>27</v>
      </c>
      <c r="O220" s="8" t="s">
        <v>28</v>
      </c>
      <c r="P220" s="9">
        <v>44779</v>
      </c>
      <c r="Q220" s="8" t="s">
        <v>43</v>
      </c>
      <c r="R220" s="10">
        <v>0</v>
      </c>
    </row>
    <row r="221" spans="1:18" x14ac:dyDescent="0.3">
      <c r="A221" s="7" t="s">
        <v>255</v>
      </c>
      <c r="B221" s="8" t="s">
        <v>45</v>
      </c>
      <c r="C221" s="8">
        <v>58</v>
      </c>
      <c r="D221" s="8" t="s">
        <v>31</v>
      </c>
      <c r="E221" s="8" t="s">
        <v>21</v>
      </c>
      <c r="F221" s="8">
        <v>97899</v>
      </c>
      <c r="G221" s="8" t="s">
        <v>15</v>
      </c>
      <c r="H221" s="8">
        <v>306</v>
      </c>
      <c r="I221" s="8" t="s">
        <v>9</v>
      </c>
      <c r="J221" s="8">
        <v>1982569</v>
      </c>
      <c r="K221" s="8">
        <v>5</v>
      </c>
      <c r="L221" s="8">
        <v>7.06</v>
      </c>
      <c r="M221" s="8">
        <v>2332.8200000000002</v>
      </c>
      <c r="N221" s="8" t="s">
        <v>17</v>
      </c>
      <c r="O221" s="8" t="s">
        <v>22</v>
      </c>
      <c r="P221" s="9">
        <v>44828</v>
      </c>
      <c r="Q221" s="8" t="s">
        <v>12</v>
      </c>
      <c r="R221" s="10">
        <v>0</v>
      </c>
    </row>
    <row r="222" spans="1:18" x14ac:dyDescent="0.3">
      <c r="A222" s="7" t="s">
        <v>256</v>
      </c>
      <c r="B222" s="8" t="s">
        <v>24</v>
      </c>
      <c r="C222" s="8">
        <v>50</v>
      </c>
      <c r="D222" s="8" t="s">
        <v>31</v>
      </c>
      <c r="E222" s="8" t="s">
        <v>21</v>
      </c>
      <c r="F222" s="8">
        <v>117909</v>
      </c>
      <c r="G222" s="8" t="s">
        <v>15</v>
      </c>
      <c r="H222" s="8">
        <v>618</v>
      </c>
      <c r="I222" s="8" t="s">
        <v>16</v>
      </c>
      <c r="J222" s="8">
        <v>607919</v>
      </c>
      <c r="K222" s="8">
        <v>10</v>
      </c>
      <c r="L222" s="8">
        <v>10.029999999999999</v>
      </c>
      <c r="M222" s="8">
        <v>508.12</v>
      </c>
      <c r="N222" s="8" t="s">
        <v>8</v>
      </c>
      <c r="O222" s="8" t="s">
        <v>11</v>
      </c>
      <c r="P222" s="9">
        <v>44931</v>
      </c>
      <c r="Q222" s="8" t="s">
        <v>12</v>
      </c>
      <c r="R222" s="10">
        <v>0</v>
      </c>
    </row>
    <row r="223" spans="1:18" x14ac:dyDescent="0.3">
      <c r="A223" s="7" t="s">
        <v>257</v>
      </c>
      <c r="B223" s="8" t="s">
        <v>45</v>
      </c>
      <c r="C223" s="8">
        <v>32</v>
      </c>
      <c r="D223" s="8" t="s">
        <v>6</v>
      </c>
      <c r="E223" s="8" t="s">
        <v>21</v>
      </c>
      <c r="F223" s="8">
        <v>135433</v>
      </c>
      <c r="G223" s="8" t="s">
        <v>25</v>
      </c>
      <c r="H223" s="8">
        <v>743</v>
      </c>
      <c r="I223" s="8" t="s">
        <v>40</v>
      </c>
      <c r="J223" s="8">
        <v>1275170</v>
      </c>
      <c r="K223" s="8">
        <v>5</v>
      </c>
      <c r="L223" s="8">
        <v>13.08</v>
      </c>
      <c r="M223" s="8">
        <v>2779.87</v>
      </c>
      <c r="N223" s="8" t="s">
        <v>8</v>
      </c>
      <c r="O223" s="8" t="s">
        <v>22</v>
      </c>
      <c r="P223" s="9">
        <v>45206</v>
      </c>
      <c r="Q223" s="8" t="s">
        <v>12</v>
      </c>
      <c r="R223" s="10">
        <v>0</v>
      </c>
    </row>
    <row r="224" spans="1:18" x14ac:dyDescent="0.3">
      <c r="A224" s="7" t="s">
        <v>258</v>
      </c>
      <c r="B224" s="8" t="s">
        <v>24</v>
      </c>
      <c r="C224" s="8">
        <v>44</v>
      </c>
      <c r="D224" s="8" t="s">
        <v>6</v>
      </c>
      <c r="E224" s="8" t="s">
        <v>7</v>
      </c>
      <c r="F224" s="8">
        <v>22637</v>
      </c>
      <c r="G224" s="8" t="s">
        <v>25</v>
      </c>
      <c r="H224" s="8">
        <v>420</v>
      </c>
      <c r="I224" s="8" t="s">
        <v>9</v>
      </c>
      <c r="J224" s="8">
        <v>306068</v>
      </c>
      <c r="K224" s="8">
        <v>10</v>
      </c>
      <c r="L224" s="8">
        <v>7.43</v>
      </c>
      <c r="M224" s="8">
        <v>189.51</v>
      </c>
      <c r="N224" s="8" t="s">
        <v>8</v>
      </c>
      <c r="O224" s="8" t="s">
        <v>22</v>
      </c>
      <c r="P224" s="9">
        <v>44900</v>
      </c>
      <c r="Q224" s="8" t="s">
        <v>12</v>
      </c>
      <c r="R224" s="10">
        <v>0</v>
      </c>
    </row>
    <row r="225" spans="1:18" x14ac:dyDescent="0.3">
      <c r="A225" s="7" t="s">
        <v>259</v>
      </c>
      <c r="B225" s="8" t="s">
        <v>52</v>
      </c>
      <c r="C225" s="8">
        <v>45</v>
      </c>
      <c r="D225" s="8" t="s">
        <v>6</v>
      </c>
      <c r="E225" s="8" t="s">
        <v>7</v>
      </c>
      <c r="F225" s="8">
        <v>132288</v>
      </c>
      <c r="G225" s="8" t="s">
        <v>8</v>
      </c>
      <c r="H225" s="8">
        <v>629</v>
      </c>
      <c r="I225" s="8" t="s">
        <v>16</v>
      </c>
      <c r="J225" s="8">
        <v>503398</v>
      </c>
      <c r="K225" s="8">
        <v>15</v>
      </c>
      <c r="L225" s="8">
        <v>11.71</v>
      </c>
      <c r="M225" s="8">
        <v>327.49</v>
      </c>
      <c r="N225" s="8" t="s">
        <v>8</v>
      </c>
      <c r="O225" s="8" t="s">
        <v>11</v>
      </c>
      <c r="P225" s="9">
        <v>44634</v>
      </c>
      <c r="Q225" s="8" t="s">
        <v>12</v>
      </c>
      <c r="R225" s="10">
        <v>0</v>
      </c>
    </row>
    <row r="226" spans="1:18" x14ac:dyDescent="0.3">
      <c r="A226" s="7" t="s">
        <v>260</v>
      </c>
      <c r="B226" s="8" t="s">
        <v>5</v>
      </c>
      <c r="C226" s="8">
        <v>22</v>
      </c>
      <c r="D226" s="8" t="s">
        <v>34</v>
      </c>
      <c r="E226" s="8" t="s">
        <v>21</v>
      </c>
      <c r="F226" s="8">
        <v>25383</v>
      </c>
      <c r="G226" s="8" t="s">
        <v>8</v>
      </c>
      <c r="H226" s="8">
        <v>767</v>
      </c>
      <c r="I226" s="8" t="s">
        <v>40</v>
      </c>
      <c r="J226" s="8">
        <v>537009</v>
      </c>
      <c r="K226" s="8">
        <v>10</v>
      </c>
      <c r="L226" s="8">
        <v>14.56</v>
      </c>
      <c r="M226" s="8">
        <v>651.57000000000005</v>
      </c>
      <c r="N226" s="8" t="s">
        <v>10</v>
      </c>
      <c r="O226" s="8" t="s">
        <v>28</v>
      </c>
      <c r="P226" s="9">
        <v>45277</v>
      </c>
      <c r="Q226" s="8" t="s">
        <v>12</v>
      </c>
      <c r="R226" s="10">
        <v>0</v>
      </c>
    </row>
    <row r="227" spans="1:18" x14ac:dyDescent="0.3">
      <c r="A227" s="7" t="s">
        <v>261</v>
      </c>
      <c r="B227" s="8" t="s">
        <v>39</v>
      </c>
      <c r="C227" s="8">
        <v>36</v>
      </c>
      <c r="D227" s="8" t="s">
        <v>6</v>
      </c>
      <c r="E227" s="8" t="s">
        <v>7</v>
      </c>
      <c r="F227" s="8">
        <v>98490</v>
      </c>
      <c r="G227" s="8" t="s">
        <v>25</v>
      </c>
      <c r="H227" s="8">
        <v>776</v>
      </c>
      <c r="I227" s="8" t="s">
        <v>40</v>
      </c>
      <c r="J227" s="8">
        <v>1603284</v>
      </c>
      <c r="K227" s="8">
        <v>10</v>
      </c>
      <c r="L227" s="8">
        <v>7</v>
      </c>
      <c r="M227" s="8">
        <v>935.25</v>
      </c>
      <c r="N227" s="8" t="s">
        <v>8</v>
      </c>
      <c r="O227" s="8" t="s">
        <v>11</v>
      </c>
      <c r="P227" s="9">
        <v>44861</v>
      </c>
      <c r="Q227" s="8" t="s">
        <v>29</v>
      </c>
      <c r="R227" s="10">
        <v>1</v>
      </c>
    </row>
    <row r="228" spans="1:18" x14ac:dyDescent="0.3">
      <c r="A228" s="7" t="s">
        <v>262</v>
      </c>
      <c r="B228" s="8" t="s">
        <v>14</v>
      </c>
      <c r="C228" s="8">
        <v>38</v>
      </c>
      <c r="D228" s="8" t="s">
        <v>6</v>
      </c>
      <c r="E228" s="8" t="s">
        <v>7</v>
      </c>
      <c r="F228" s="8">
        <v>136456</v>
      </c>
      <c r="G228" s="8" t="s">
        <v>8</v>
      </c>
      <c r="H228" s="8">
        <v>582</v>
      </c>
      <c r="I228" s="8" t="s">
        <v>16</v>
      </c>
      <c r="J228" s="8">
        <v>1062236</v>
      </c>
      <c r="K228" s="8">
        <v>5</v>
      </c>
      <c r="L228" s="8">
        <v>10.32</v>
      </c>
      <c r="M228" s="8">
        <v>1827.05</v>
      </c>
      <c r="N228" s="8" t="s">
        <v>10</v>
      </c>
      <c r="O228" s="8" t="s">
        <v>28</v>
      </c>
      <c r="P228" s="9">
        <v>45331</v>
      </c>
      <c r="Q228" s="8" t="s">
        <v>43</v>
      </c>
      <c r="R228" s="10">
        <v>0</v>
      </c>
    </row>
    <row r="229" spans="1:18" x14ac:dyDescent="0.3">
      <c r="A229" s="7" t="s">
        <v>263</v>
      </c>
      <c r="B229" s="8" t="s">
        <v>52</v>
      </c>
      <c r="C229" s="8">
        <v>21</v>
      </c>
      <c r="D229" s="8" t="s">
        <v>34</v>
      </c>
      <c r="E229" s="8" t="s">
        <v>21</v>
      </c>
      <c r="F229" s="8">
        <v>73658</v>
      </c>
      <c r="G229" s="8" t="s">
        <v>8</v>
      </c>
      <c r="H229" s="8">
        <v>410</v>
      </c>
      <c r="I229" s="8" t="s">
        <v>9</v>
      </c>
      <c r="J229" s="8">
        <v>1338341</v>
      </c>
      <c r="K229" s="8">
        <v>5</v>
      </c>
      <c r="L229" s="8">
        <v>7.92</v>
      </c>
      <c r="M229" s="8">
        <v>1766.61</v>
      </c>
      <c r="N229" s="8" t="s">
        <v>8</v>
      </c>
      <c r="O229" s="8" t="s">
        <v>28</v>
      </c>
      <c r="P229" s="9">
        <v>44781</v>
      </c>
      <c r="Q229" s="8" t="s">
        <v>12</v>
      </c>
      <c r="R229" s="10">
        <v>0</v>
      </c>
    </row>
    <row r="230" spans="1:18" x14ac:dyDescent="0.3">
      <c r="A230" s="7" t="s">
        <v>264</v>
      </c>
      <c r="B230" s="8" t="s">
        <v>5</v>
      </c>
      <c r="C230" s="8">
        <v>38</v>
      </c>
      <c r="D230" s="8" t="s">
        <v>6</v>
      </c>
      <c r="E230" s="8" t="s">
        <v>7</v>
      </c>
      <c r="F230" s="8">
        <v>60408</v>
      </c>
      <c r="G230" s="8" t="s">
        <v>15</v>
      </c>
      <c r="H230" s="8">
        <v>676</v>
      </c>
      <c r="I230" s="8" t="s">
        <v>16</v>
      </c>
      <c r="J230" s="8">
        <v>599725</v>
      </c>
      <c r="K230" s="8">
        <v>10</v>
      </c>
      <c r="L230" s="8">
        <v>8.33</v>
      </c>
      <c r="M230" s="8">
        <v>416.31</v>
      </c>
      <c r="N230" s="8" t="s">
        <v>10</v>
      </c>
      <c r="O230" s="8" t="s">
        <v>18</v>
      </c>
      <c r="P230" s="9">
        <v>44809</v>
      </c>
      <c r="Q230" s="8" t="s">
        <v>12</v>
      </c>
      <c r="R230" s="10">
        <v>0</v>
      </c>
    </row>
    <row r="231" spans="1:18" x14ac:dyDescent="0.3">
      <c r="A231" s="7" t="s">
        <v>265</v>
      </c>
      <c r="B231" s="8" t="s">
        <v>52</v>
      </c>
      <c r="C231" s="8">
        <v>32</v>
      </c>
      <c r="D231" s="8" t="s">
        <v>6</v>
      </c>
      <c r="E231" s="8" t="s">
        <v>7</v>
      </c>
      <c r="F231" s="8">
        <v>81901</v>
      </c>
      <c r="G231" s="8" t="s">
        <v>8</v>
      </c>
      <c r="H231" s="8">
        <v>476</v>
      </c>
      <c r="I231" s="8" t="s">
        <v>9</v>
      </c>
      <c r="J231" s="8">
        <v>1081856</v>
      </c>
      <c r="K231" s="8">
        <v>20</v>
      </c>
      <c r="L231" s="8">
        <v>7.6</v>
      </c>
      <c r="M231" s="8">
        <v>342.59</v>
      </c>
      <c r="N231" s="8" t="s">
        <v>27</v>
      </c>
      <c r="O231" s="8" t="s">
        <v>11</v>
      </c>
      <c r="P231" s="9">
        <v>45092</v>
      </c>
      <c r="Q231" s="8" t="s">
        <v>12</v>
      </c>
      <c r="R231" s="10">
        <v>0</v>
      </c>
    </row>
    <row r="232" spans="1:18" x14ac:dyDescent="0.3">
      <c r="A232" s="7" t="s">
        <v>266</v>
      </c>
      <c r="B232" s="8" t="s">
        <v>14</v>
      </c>
      <c r="C232" s="8">
        <v>33</v>
      </c>
      <c r="D232" s="8" t="s">
        <v>6</v>
      </c>
      <c r="E232" s="8" t="s">
        <v>7</v>
      </c>
      <c r="F232" s="8">
        <v>68363</v>
      </c>
      <c r="G232" s="8" t="s">
        <v>15</v>
      </c>
      <c r="H232" s="8">
        <v>720</v>
      </c>
      <c r="I232" s="8" t="s">
        <v>40</v>
      </c>
      <c r="J232" s="8">
        <v>1909645</v>
      </c>
      <c r="K232" s="8">
        <v>5</v>
      </c>
      <c r="L232" s="8">
        <v>9.93</v>
      </c>
      <c r="M232" s="8">
        <v>3160.46</v>
      </c>
      <c r="N232" s="8" t="s">
        <v>17</v>
      </c>
      <c r="O232" s="8" t="s">
        <v>18</v>
      </c>
      <c r="P232" s="9">
        <v>44900</v>
      </c>
      <c r="Q232" s="8" t="s">
        <v>12</v>
      </c>
      <c r="R232" s="10">
        <v>0</v>
      </c>
    </row>
    <row r="233" spans="1:18" x14ac:dyDescent="0.3">
      <c r="A233" s="7" t="s">
        <v>267</v>
      </c>
      <c r="B233" s="8" t="s">
        <v>45</v>
      </c>
      <c r="C233" s="8">
        <v>26</v>
      </c>
      <c r="D233" s="8" t="s">
        <v>34</v>
      </c>
      <c r="E233" s="8" t="s">
        <v>21</v>
      </c>
      <c r="F233" s="8">
        <v>73038</v>
      </c>
      <c r="G233" s="8" t="s">
        <v>15</v>
      </c>
      <c r="H233" s="8">
        <v>679</v>
      </c>
      <c r="I233" s="8" t="s">
        <v>16</v>
      </c>
      <c r="J233" s="8">
        <v>613301</v>
      </c>
      <c r="K233" s="8">
        <v>20</v>
      </c>
      <c r="L233" s="8">
        <v>10.28</v>
      </c>
      <c r="M233" s="8">
        <v>262.7</v>
      </c>
      <c r="N233" s="8" t="s">
        <v>17</v>
      </c>
      <c r="O233" s="8" t="s">
        <v>28</v>
      </c>
      <c r="P233" s="9">
        <v>44895</v>
      </c>
      <c r="Q233" s="8" t="s">
        <v>29</v>
      </c>
      <c r="R233" s="10">
        <v>1</v>
      </c>
    </row>
    <row r="234" spans="1:18" x14ac:dyDescent="0.3">
      <c r="A234" s="7" t="s">
        <v>268</v>
      </c>
      <c r="B234" s="8" t="s">
        <v>5</v>
      </c>
      <c r="C234" s="8">
        <v>58</v>
      </c>
      <c r="D234" s="8" t="s">
        <v>31</v>
      </c>
      <c r="E234" s="8" t="s">
        <v>7</v>
      </c>
      <c r="F234" s="8">
        <v>136704</v>
      </c>
      <c r="G234" s="8" t="s">
        <v>25</v>
      </c>
      <c r="H234" s="8">
        <v>630</v>
      </c>
      <c r="I234" s="8" t="s">
        <v>16</v>
      </c>
      <c r="J234" s="8">
        <v>1565503</v>
      </c>
      <c r="K234" s="8">
        <v>10</v>
      </c>
      <c r="L234" s="8">
        <v>12.95</v>
      </c>
      <c r="M234" s="8">
        <v>1689.44</v>
      </c>
      <c r="N234" s="8" t="s">
        <v>17</v>
      </c>
      <c r="O234" s="8" t="s">
        <v>28</v>
      </c>
      <c r="P234" s="9">
        <v>44605</v>
      </c>
      <c r="Q234" s="8" t="s">
        <v>12</v>
      </c>
      <c r="R234" s="10">
        <v>0</v>
      </c>
    </row>
    <row r="235" spans="1:18" x14ac:dyDescent="0.3">
      <c r="A235" s="7" t="s">
        <v>269</v>
      </c>
      <c r="B235" s="8" t="s">
        <v>24</v>
      </c>
      <c r="C235" s="8">
        <v>36</v>
      </c>
      <c r="D235" s="8" t="s">
        <v>6</v>
      </c>
      <c r="E235" s="8" t="s">
        <v>7</v>
      </c>
      <c r="F235" s="8">
        <v>100998</v>
      </c>
      <c r="G235" s="8" t="s">
        <v>15</v>
      </c>
      <c r="H235" s="8">
        <v>808</v>
      </c>
      <c r="I235" s="8" t="s">
        <v>40</v>
      </c>
      <c r="J235" s="8">
        <v>1172407</v>
      </c>
      <c r="K235" s="8">
        <v>5</v>
      </c>
      <c r="L235" s="8">
        <v>8.56</v>
      </c>
      <c r="M235" s="8">
        <v>1672.63</v>
      </c>
      <c r="N235" s="8" t="s">
        <v>27</v>
      </c>
      <c r="O235" s="8" t="s">
        <v>28</v>
      </c>
      <c r="P235" s="9">
        <v>45338</v>
      </c>
      <c r="Q235" s="8" t="s">
        <v>12</v>
      </c>
      <c r="R235" s="10">
        <v>0</v>
      </c>
    </row>
    <row r="236" spans="1:18" x14ac:dyDescent="0.3">
      <c r="A236" s="7" t="s">
        <v>270</v>
      </c>
      <c r="B236" s="8" t="s">
        <v>14</v>
      </c>
      <c r="C236" s="8">
        <v>27</v>
      </c>
      <c r="D236" s="8" t="s">
        <v>34</v>
      </c>
      <c r="E236" s="8" t="s">
        <v>21</v>
      </c>
      <c r="F236" s="8">
        <v>102159</v>
      </c>
      <c r="G236" s="8" t="s">
        <v>8</v>
      </c>
      <c r="H236" s="8">
        <v>399</v>
      </c>
      <c r="I236" s="8" t="s">
        <v>9</v>
      </c>
      <c r="J236" s="8">
        <v>214712</v>
      </c>
      <c r="K236" s="8">
        <v>5</v>
      </c>
      <c r="L236" s="8">
        <v>13.6</v>
      </c>
      <c r="M236" s="8">
        <v>486.68</v>
      </c>
      <c r="N236" s="8" t="s">
        <v>8</v>
      </c>
      <c r="O236" s="8" t="s">
        <v>18</v>
      </c>
      <c r="P236" s="9">
        <v>44827</v>
      </c>
      <c r="Q236" s="8" t="s">
        <v>12</v>
      </c>
      <c r="R236" s="10">
        <v>0</v>
      </c>
    </row>
    <row r="237" spans="1:18" x14ac:dyDescent="0.3">
      <c r="A237" s="7" t="s">
        <v>271</v>
      </c>
      <c r="B237" s="8" t="s">
        <v>45</v>
      </c>
      <c r="C237" s="8">
        <v>45</v>
      </c>
      <c r="D237" s="8" t="s">
        <v>6</v>
      </c>
      <c r="E237" s="8" t="s">
        <v>7</v>
      </c>
      <c r="F237" s="8">
        <v>98475</v>
      </c>
      <c r="G237" s="8" t="s">
        <v>15</v>
      </c>
      <c r="H237" s="8">
        <v>609</v>
      </c>
      <c r="I237" s="8" t="s">
        <v>16</v>
      </c>
      <c r="J237" s="8">
        <v>1078718</v>
      </c>
      <c r="K237" s="8">
        <v>15</v>
      </c>
      <c r="L237" s="8">
        <v>8.9700000000000006</v>
      </c>
      <c r="M237" s="8">
        <v>537.55999999999995</v>
      </c>
      <c r="N237" s="8" t="s">
        <v>42</v>
      </c>
      <c r="O237" s="8" t="s">
        <v>18</v>
      </c>
      <c r="P237" s="9">
        <v>44916</v>
      </c>
      <c r="Q237" s="8" t="s">
        <v>43</v>
      </c>
      <c r="R237" s="10">
        <v>0</v>
      </c>
    </row>
    <row r="238" spans="1:18" x14ac:dyDescent="0.3">
      <c r="A238" s="7" t="s">
        <v>272</v>
      </c>
      <c r="B238" s="8" t="s">
        <v>45</v>
      </c>
      <c r="C238" s="8">
        <v>47</v>
      </c>
      <c r="D238" s="8" t="s">
        <v>31</v>
      </c>
      <c r="E238" s="8" t="s">
        <v>21</v>
      </c>
      <c r="F238" s="8">
        <v>44191</v>
      </c>
      <c r="G238" s="8" t="s">
        <v>25</v>
      </c>
      <c r="H238" s="8">
        <v>369</v>
      </c>
      <c r="I238" s="8" t="s">
        <v>9</v>
      </c>
      <c r="J238" s="8">
        <v>276891</v>
      </c>
      <c r="K238" s="8">
        <v>20</v>
      </c>
      <c r="L238" s="8">
        <v>10.18</v>
      </c>
      <c r="M238" s="8">
        <v>117.45</v>
      </c>
      <c r="N238" s="8" t="s">
        <v>42</v>
      </c>
      <c r="O238" s="8" t="s">
        <v>18</v>
      </c>
      <c r="P238" s="9">
        <v>45289</v>
      </c>
      <c r="Q238" s="8" t="s">
        <v>12</v>
      </c>
      <c r="R238" s="10">
        <v>0</v>
      </c>
    </row>
    <row r="239" spans="1:18" x14ac:dyDescent="0.3">
      <c r="A239" s="7" t="s">
        <v>273</v>
      </c>
      <c r="B239" s="8" t="s">
        <v>5</v>
      </c>
      <c r="C239" s="8">
        <v>30</v>
      </c>
      <c r="D239" s="8" t="s">
        <v>6</v>
      </c>
      <c r="E239" s="8" t="s">
        <v>21</v>
      </c>
      <c r="F239" s="8">
        <v>53085</v>
      </c>
      <c r="G239" s="8" t="s">
        <v>25</v>
      </c>
      <c r="H239" s="8">
        <v>530</v>
      </c>
      <c r="I239" s="8" t="s">
        <v>9</v>
      </c>
      <c r="J239" s="8">
        <v>233248</v>
      </c>
      <c r="K239" s="8">
        <v>10</v>
      </c>
      <c r="L239" s="8">
        <v>12.93</v>
      </c>
      <c r="M239" s="8">
        <v>251.32</v>
      </c>
      <c r="N239" s="8" t="s">
        <v>42</v>
      </c>
      <c r="O239" s="8" t="s">
        <v>18</v>
      </c>
      <c r="P239" s="9">
        <v>45192</v>
      </c>
      <c r="Q239" s="8" t="s">
        <v>12</v>
      </c>
      <c r="R239" s="10">
        <v>0</v>
      </c>
    </row>
    <row r="240" spans="1:18" x14ac:dyDescent="0.3">
      <c r="A240" s="7" t="s">
        <v>274</v>
      </c>
      <c r="B240" s="8" t="s">
        <v>47</v>
      </c>
      <c r="C240" s="8">
        <v>33</v>
      </c>
      <c r="D240" s="8" t="s">
        <v>6</v>
      </c>
      <c r="E240" s="8" t="s">
        <v>21</v>
      </c>
      <c r="F240" s="8">
        <v>98916</v>
      </c>
      <c r="G240" s="8" t="s">
        <v>15</v>
      </c>
      <c r="H240" s="8">
        <v>699</v>
      </c>
      <c r="I240" s="8" t="s">
        <v>16</v>
      </c>
      <c r="J240" s="8">
        <v>1363232</v>
      </c>
      <c r="K240" s="8">
        <v>10</v>
      </c>
      <c r="L240" s="8">
        <v>14.18</v>
      </c>
      <c r="M240" s="8">
        <v>1610.89</v>
      </c>
      <c r="N240" s="8" t="s">
        <v>17</v>
      </c>
      <c r="O240" s="8" t="s">
        <v>22</v>
      </c>
      <c r="P240" s="9">
        <v>45434</v>
      </c>
      <c r="Q240" s="8" t="s">
        <v>43</v>
      </c>
      <c r="R240" s="10">
        <v>0</v>
      </c>
    </row>
    <row r="241" spans="1:18" x14ac:dyDescent="0.3">
      <c r="A241" s="7" t="s">
        <v>275</v>
      </c>
      <c r="B241" s="8" t="s">
        <v>5</v>
      </c>
      <c r="C241" s="8">
        <v>57</v>
      </c>
      <c r="D241" s="8" t="s">
        <v>31</v>
      </c>
      <c r="E241" s="8" t="s">
        <v>21</v>
      </c>
      <c r="F241" s="8">
        <v>71099</v>
      </c>
      <c r="G241" s="8" t="s">
        <v>15</v>
      </c>
      <c r="H241" s="8">
        <v>355</v>
      </c>
      <c r="I241" s="8" t="s">
        <v>9</v>
      </c>
      <c r="J241" s="8">
        <v>1596037</v>
      </c>
      <c r="K241" s="8">
        <v>10</v>
      </c>
      <c r="L241" s="8">
        <v>14.77</v>
      </c>
      <c r="M241" s="8">
        <v>1964.46</v>
      </c>
      <c r="N241" s="8" t="s">
        <v>42</v>
      </c>
      <c r="O241" s="8" t="s">
        <v>28</v>
      </c>
      <c r="P241" s="9">
        <v>45434</v>
      </c>
      <c r="Q241" s="8" t="s">
        <v>43</v>
      </c>
      <c r="R241" s="10">
        <v>0</v>
      </c>
    </row>
    <row r="242" spans="1:18" x14ac:dyDescent="0.3">
      <c r="A242" s="7" t="s">
        <v>276</v>
      </c>
      <c r="B242" s="8" t="s">
        <v>14</v>
      </c>
      <c r="C242" s="8">
        <v>60</v>
      </c>
      <c r="D242" s="8" t="s">
        <v>31</v>
      </c>
      <c r="E242" s="8" t="s">
        <v>21</v>
      </c>
      <c r="F242" s="8">
        <v>139601</v>
      </c>
      <c r="G242" s="8" t="s">
        <v>15</v>
      </c>
      <c r="H242" s="8">
        <v>337</v>
      </c>
      <c r="I242" s="8" t="s">
        <v>9</v>
      </c>
      <c r="J242" s="8">
        <v>939787</v>
      </c>
      <c r="K242" s="8">
        <v>20</v>
      </c>
      <c r="L242" s="8">
        <v>13.27</v>
      </c>
      <c r="M242" s="8">
        <v>519.62</v>
      </c>
      <c r="N242" s="8" t="s">
        <v>10</v>
      </c>
      <c r="O242" s="8" t="s">
        <v>11</v>
      </c>
      <c r="P242" s="9">
        <v>45404</v>
      </c>
      <c r="Q242" s="8" t="s">
        <v>12</v>
      </c>
      <c r="R242" s="10">
        <v>0</v>
      </c>
    </row>
    <row r="243" spans="1:18" x14ac:dyDescent="0.3">
      <c r="A243" s="7" t="s">
        <v>277</v>
      </c>
      <c r="B243" s="8" t="s">
        <v>39</v>
      </c>
      <c r="C243" s="8">
        <v>36</v>
      </c>
      <c r="D243" s="8" t="s">
        <v>6</v>
      </c>
      <c r="E243" s="8" t="s">
        <v>7</v>
      </c>
      <c r="F243" s="8">
        <v>81534</v>
      </c>
      <c r="G243" s="8" t="s">
        <v>15</v>
      </c>
      <c r="H243" s="8">
        <v>804</v>
      </c>
      <c r="I243" s="8" t="s">
        <v>40</v>
      </c>
      <c r="J243" s="8">
        <v>1972057</v>
      </c>
      <c r="K243" s="8">
        <v>5</v>
      </c>
      <c r="L243" s="8">
        <v>12.03</v>
      </c>
      <c r="M243" s="8">
        <v>3953.97</v>
      </c>
      <c r="N243" s="8" t="s">
        <v>42</v>
      </c>
      <c r="O243" s="8" t="s">
        <v>11</v>
      </c>
      <c r="P243" s="9">
        <v>44836</v>
      </c>
      <c r="Q243" s="8" t="s">
        <v>12</v>
      </c>
      <c r="R243" s="10">
        <v>0</v>
      </c>
    </row>
    <row r="244" spans="1:18" x14ac:dyDescent="0.3">
      <c r="A244" s="7" t="s">
        <v>278</v>
      </c>
      <c r="B244" s="8" t="s">
        <v>47</v>
      </c>
      <c r="C244" s="8">
        <v>42</v>
      </c>
      <c r="D244" s="8" t="s">
        <v>6</v>
      </c>
      <c r="E244" s="8" t="s">
        <v>21</v>
      </c>
      <c r="F244" s="8">
        <v>146214</v>
      </c>
      <c r="G244" s="8" t="s">
        <v>25</v>
      </c>
      <c r="H244" s="8">
        <v>785</v>
      </c>
      <c r="I244" s="8" t="s">
        <v>40</v>
      </c>
      <c r="J244" s="8">
        <v>1643164</v>
      </c>
      <c r="K244" s="8">
        <v>15</v>
      </c>
      <c r="L244" s="8">
        <v>7.82</v>
      </c>
      <c r="M244" s="8">
        <v>713.86</v>
      </c>
      <c r="N244" s="8" t="s">
        <v>42</v>
      </c>
      <c r="O244" s="8" t="s">
        <v>18</v>
      </c>
      <c r="P244" s="9">
        <v>44754</v>
      </c>
      <c r="Q244" s="8" t="s">
        <v>12</v>
      </c>
      <c r="R244" s="10">
        <v>0</v>
      </c>
    </row>
    <row r="245" spans="1:18" x14ac:dyDescent="0.3">
      <c r="A245" s="7" t="s">
        <v>279</v>
      </c>
      <c r="B245" s="8" t="s">
        <v>14</v>
      </c>
      <c r="C245" s="8">
        <v>61</v>
      </c>
      <c r="D245" s="8" t="s">
        <v>31</v>
      </c>
      <c r="E245" s="8" t="s">
        <v>7</v>
      </c>
      <c r="F245" s="8">
        <v>139215</v>
      </c>
      <c r="G245" s="8" t="s">
        <v>15</v>
      </c>
      <c r="H245" s="8">
        <v>815</v>
      </c>
      <c r="I245" s="8" t="s">
        <v>40</v>
      </c>
      <c r="J245" s="8">
        <v>118298</v>
      </c>
      <c r="K245" s="8">
        <v>15</v>
      </c>
      <c r="L245" s="8">
        <v>14.58</v>
      </c>
      <c r="M245" s="8">
        <v>95.82</v>
      </c>
      <c r="N245" s="8" t="s">
        <v>8</v>
      </c>
      <c r="O245" s="8" t="s">
        <v>11</v>
      </c>
      <c r="P245" s="9">
        <v>44624</v>
      </c>
      <c r="Q245" s="8" t="s">
        <v>29</v>
      </c>
      <c r="R245" s="10">
        <v>1</v>
      </c>
    </row>
    <row r="246" spans="1:18" x14ac:dyDescent="0.3">
      <c r="A246" s="7" t="s">
        <v>280</v>
      </c>
      <c r="B246" s="8" t="s">
        <v>20</v>
      </c>
      <c r="C246" s="8">
        <v>40</v>
      </c>
      <c r="D246" s="8" t="s">
        <v>6</v>
      </c>
      <c r="E246" s="8" t="s">
        <v>7</v>
      </c>
      <c r="F246" s="8">
        <v>111515</v>
      </c>
      <c r="G246" s="8" t="s">
        <v>25</v>
      </c>
      <c r="H246" s="8">
        <v>429</v>
      </c>
      <c r="I246" s="8" t="s">
        <v>9</v>
      </c>
      <c r="J246" s="8">
        <v>976598</v>
      </c>
      <c r="K246" s="8">
        <v>5</v>
      </c>
      <c r="L246" s="8">
        <v>7.08</v>
      </c>
      <c r="M246" s="8">
        <v>1152.3900000000001</v>
      </c>
      <c r="N246" s="8" t="s">
        <v>42</v>
      </c>
      <c r="O246" s="8" t="s">
        <v>18</v>
      </c>
      <c r="P246" s="9">
        <v>45021</v>
      </c>
      <c r="Q246" s="8" t="s">
        <v>29</v>
      </c>
      <c r="R246" s="10">
        <v>1</v>
      </c>
    </row>
    <row r="247" spans="1:18" x14ac:dyDescent="0.3">
      <c r="A247" s="7" t="s">
        <v>281</v>
      </c>
      <c r="B247" s="8" t="s">
        <v>5</v>
      </c>
      <c r="C247" s="8">
        <v>28</v>
      </c>
      <c r="D247" s="8" t="s">
        <v>34</v>
      </c>
      <c r="E247" s="8" t="s">
        <v>21</v>
      </c>
      <c r="F247" s="8">
        <v>74169</v>
      </c>
      <c r="G247" s="8" t="s">
        <v>15</v>
      </c>
      <c r="H247" s="8">
        <v>813</v>
      </c>
      <c r="I247" s="8" t="s">
        <v>40</v>
      </c>
      <c r="J247" s="8">
        <v>1583502</v>
      </c>
      <c r="K247" s="8">
        <v>20</v>
      </c>
      <c r="L247" s="8">
        <v>12.86</v>
      </c>
      <c r="M247" s="8">
        <v>848.49</v>
      </c>
      <c r="N247" s="8" t="s">
        <v>42</v>
      </c>
      <c r="O247" s="8" t="s">
        <v>28</v>
      </c>
      <c r="P247" s="9">
        <v>45438</v>
      </c>
      <c r="Q247" s="8" t="s">
        <v>12</v>
      </c>
      <c r="R247" s="10">
        <v>0</v>
      </c>
    </row>
    <row r="248" spans="1:18" x14ac:dyDescent="0.3">
      <c r="A248" s="7" t="s">
        <v>282</v>
      </c>
      <c r="B248" s="8" t="s">
        <v>14</v>
      </c>
      <c r="C248" s="8">
        <v>40</v>
      </c>
      <c r="D248" s="8" t="s">
        <v>6</v>
      </c>
      <c r="E248" s="8" t="s">
        <v>7</v>
      </c>
      <c r="F248" s="8">
        <v>135765</v>
      </c>
      <c r="G248" s="8" t="s">
        <v>8</v>
      </c>
      <c r="H248" s="8">
        <v>806</v>
      </c>
      <c r="I248" s="8" t="s">
        <v>40</v>
      </c>
      <c r="J248" s="8">
        <v>441954</v>
      </c>
      <c r="K248" s="8">
        <v>5</v>
      </c>
      <c r="L248" s="8">
        <v>9.0299999999999994</v>
      </c>
      <c r="M248" s="8">
        <v>665.14</v>
      </c>
      <c r="N248" s="8" t="s">
        <v>10</v>
      </c>
      <c r="O248" s="8" t="s">
        <v>28</v>
      </c>
      <c r="P248" s="9">
        <v>44612</v>
      </c>
      <c r="Q248" s="8" t="s">
        <v>12</v>
      </c>
      <c r="R248" s="10">
        <v>0</v>
      </c>
    </row>
    <row r="249" spans="1:18" x14ac:dyDescent="0.3">
      <c r="A249" s="7" t="s">
        <v>283</v>
      </c>
      <c r="B249" s="8" t="s">
        <v>24</v>
      </c>
      <c r="C249" s="8">
        <v>64</v>
      </c>
      <c r="D249" s="8" t="s">
        <v>31</v>
      </c>
      <c r="E249" s="8" t="s">
        <v>7</v>
      </c>
      <c r="F249" s="8">
        <v>115099</v>
      </c>
      <c r="G249" s="8" t="s">
        <v>25</v>
      </c>
      <c r="H249" s="8">
        <v>662</v>
      </c>
      <c r="I249" s="8" t="s">
        <v>16</v>
      </c>
      <c r="J249" s="8">
        <v>1764567</v>
      </c>
      <c r="K249" s="8">
        <v>5</v>
      </c>
      <c r="L249" s="8">
        <v>11.33</v>
      </c>
      <c r="M249" s="8">
        <v>3332.09</v>
      </c>
      <c r="N249" s="8" t="s">
        <v>27</v>
      </c>
      <c r="O249" s="8" t="s">
        <v>11</v>
      </c>
      <c r="P249" s="9">
        <v>44770</v>
      </c>
      <c r="Q249" s="8" t="s">
        <v>29</v>
      </c>
      <c r="R249" s="10">
        <v>1</v>
      </c>
    </row>
    <row r="250" spans="1:18" x14ac:dyDescent="0.3">
      <c r="A250" s="7" t="s">
        <v>284</v>
      </c>
      <c r="B250" s="8" t="s">
        <v>47</v>
      </c>
      <c r="C250" s="8">
        <v>55</v>
      </c>
      <c r="D250" s="8" t="s">
        <v>31</v>
      </c>
      <c r="E250" s="8" t="s">
        <v>7</v>
      </c>
      <c r="F250" s="8">
        <v>58428</v>
      </c>
      <c r="G250" s="8" t="s">
        <v>25</v>
      </c>
      <c r="H250" s="8">
        <v>638</v>
      </c>
      <c r="I250" s="8" t="s">
        <v>16</v>
      </c>
      <c r="J250" s="8">
        <v>547327</v>
      </c>
      <c r="K250" s="8">
        <v>5</v>
      </c>
      <c r="L250" s="8">
        <v>14.54</v>
      </c>
      <c r="M250" s="8">
        <v>1326.36</v>
      </c>
      <c r="N250" s="8" t="s">
        <v>27</v>
      </c>
      <c r="O250" s="8" t="s">
        <v>18</v>
      </c>
      <c r="P250" s="9">
        <v>45218</v>
      </c>
      <c r="Q250" s="8" t="s">
        <v>12</v>
      </c>
      <c r="R250" s="10">
        <v>0</v>
      </c>
    </row>
    <row r="251" spans="1:18" x14ac:dyDescent="0.3">
      <c r="A251" s="7" t="s">
        <v>285</v>
      </c>
      <c r="B251" s="8" t="s">
        <v>39</v>
      </c>
      <c r="C251" s="8">
        <v>37</v>
      </c>
      <c r="D251" s="8" t="s">
        <v>6</v>
      </c>
      <c r="E251" s="8" t="s">
        <v>21</v>
      </c>
      <c r="F251" s="8">
        <v>43536</v>
      </c>
      <c r="G251" s="8" t="s">
        <v>15</v>
      </c>
      <c r="H251" s="8">
        <v>457</v>
      </c>
      <c r="I251" s="8" t="s">
        <v>9</v>
      </c>
      <c r="J251" s="8">
        <v>1971803</v>
      </c>
      <c r="K251" s="8">
        <v>15</v>
      </c>
      <c r="L251" s="8">
        <v>11.32</v>
      </c>
      <c r="M251" s="8">
        <v>1240.04</v>
      </c>
      <c r="N251" s="8" t="s">
        <v>8</v>
      </c>
      <c r="O251" s="8" t="s">
        <v>18</v>
      </c>
      <c r="P251" s="9">
        <v>45429</v>
      </c>
      <c r="Q251" s="8" t="s">
        <v>29</v>
      </c>
      <c r="R251" s="10">
        <v>1</v>
      </c>
    </row>
    <row r="252" spans="1:18" x14ac:dyDescent="0.3">
      <c r="A252" s="7" t="s">
        <v>286</v>
      </c>
      <c r="B252" s="8" t="s">
        <v>45</v>
      </c>
      <c r="C252" s="8">
        <v>44</v>
      </c>
      <c r="D252" s="8" t="s">
        <v>6</v>
      </c>
      <c r="E252" s="8" t="s">
        <v>7</v>
      </c>
      <c r="F252" s="8">
        <v>49249</v>
      </c>
      <c r="G252" s="8" t="s">
        <v>8</v>
      </c>
      <c r="H252" s="8">
        <v>352</v>
      </c>
      <c r="I252" s="8" t="s">
        <v>9</v>
      </c>
      <c r="J252" s="8">
        <v>1371519</v>
      </c>
      <c r="K252" s="8">
        <v>15</v>
      </c>
      <c r="L252" s="8">
        <v>11.76</v>
      </c>
      <c r="M252" s="8">
        <v>896.06</v>
      </c>
      <c r="N252" s="8" t="s">
        <v>10</v>
      </c>
      <c r="O252" s="8" t="s">
        <v>11</v>
      </c>
      <c r="P252" s="9">
        <v>45232</v>
      </c>
      <c r="Q252" s="8" t="s">
        <v>12</v>
      </c>
      <c r="R252" s="10">
        <v>0</v>
      </c>
    </row>
    <row r="253" spans="1:18" x14ac:dyDescent="0.3">
      <c r="A253" s="7" t="s">
        <v>287</v>
      </c>
      <c r="B253" s="8" t="s">
        <v>14</v>
      </c>
      <c r="C253" s="8">
        <v>49</v>
      </c>
      <c r="D253" s="8" t="s">
        <v>31</v>
      </c>
      <c r="E253" s="8" t="s">
        <v>21</v>
      </c>
      <c r="F253" s="8">
        <v>123512</v>
      </c>
      <c r="G253" s="8" t="s">
        <v>8</v>
      </c>
      <c r="H253" s="8">
        <v>770</v>
      </c>
      <c r="I253" s="8" t="s">
        <v>40</v>
      </c>
      <c r="J253" s="8">
        <v>551229</v>
      </c>
      <c r="K253" s="8">
        <v>15</v>
      </c>
      <c r="L253" s="8">
        <v>8.7200000000000006</v>
      </c>
      <c r="M253" s="8">
        <v>267.04000000000002</v>
      </c>
      <c r="N253" s="8" t="s">
        <v>27</v>
      </c>
      <c r="O253" s="8" t="s">
        <v>22</v>
      </c>
      <c r="P253" s="9">
        <v>44904</v>
      </c>
      <c r="Q253" s="8" t="s">
        <v>43</v>
      </c>
      <c r="R253" s="10">
        <v>0</v>
      </c>
    </row>
    <row r="254" spans="1:18" x14ac:dyDescent="0.3">
      <c r="A254" s="7" t="s">
        <v>288</v>
      </c>
      <c r="B254" s="8" t="s">
        <v>24</v>
      </c>
      <c r="C254" s="8">
        <v>53</v>
      </c>
      <c r="D254" s="8" t="s">
        <v>31</v>
      </c>
      <c r="E254" s="8" t="s">
        <v>7</v>
      </c>
      <c r="F254" s="8">
        <v>100912</v>
      </c>
      <c r="G254" s="8" t="s">
        <v>8</v>
      </c>
      <c r="H254" s="8">
        <v>327</v>
      </c>
      <c r="I254" s="8" t="s">
        <v>9</v>
      </c>
      <c r="J254" s="8">
        <v>1020864</v>
      </c>
      <c r="K254" s="8">
        <v>10</v>
      </c>
      <c r="L254" s="8">
        <v>14.64</v>
      </c>
      <c r="M254" s="8">
        <v>1245.45</v>
      </c>
      <c r="N254" s="8" t="s">
        <v>17</v>
      </c>
      <c r="O254" s="8" t="s">
        <v>22</v>
      </c>
      <c r="P254" s="9">
        <v>44712</v>
      </c>
      <c r="Q254" s="8" t="s">
        <v>12</v>
      </c>
      <c r="R254" s="10">
        <v>0</v>
      </c>
    </row>
    <row r="255" spans="1:18" x14ac:dyDescent="0.3">
      <c r="A255" s="7" t="s">
        <v>289</v>
      </c>
      <c r="B255" s="8" t="s">
        <v>33</v>
      </c>
      <c r="C255" s="8">
        <v>25</v>
      </c>
      <c r="D255" s="8" t="s">
        <v>34</v>
      </c>
      <c r="E255" s="8" t="s">
        <v>21</v>
      </c>
      <c r="F255" s="8">
        <v>140327</v>
      </c>
      <c r="G255" s="8" t="s">
        <v>25</v>
      </c>
      <c r="H255" s="8">
        <v>589</v>
      </c>
      <c r="I255" s="8" t="s">
        <v>16</v>
      </c>
      <c r="J255" s="8">
        <v>186964</v>
      </c>
      <c r="K255" s="8">
        <v>20</v>
      </c>
      <c r="L255" s="8">
        <v>13.83</v>
      </c>
      <c r="M255" s="8">
        <v>107.74</v>
      </c>
      <c r="N255" s="8" t="s">
        <v>10</v>
      </c>
      <c r="O255" s="8" t="s">
        <v>28</v>
      </c>
      <c r="P255" s="9">
        <v>45001</v>
      </c>
      <c r="Q255" s="8" t="s">
        <v>29</v>
      </c>
      <c r="R255" s="10">
        <v>1</v>
      </c>
    </row>
    <row r="256" spans="1:18" x14ac:dyDescent="0.3">
      <c r="A256" s="7" t="s">
        <v>290</v>
      </c>
      <c r="B256" s="8" t="s">
        <v>33</v>
      </c>
      <c r="C256" s="8">
        <v>62</v>
      </c>
      <c r="D256" s="8" t="s">
        <v>31</v>
      </c>
      <c r="E256" s="8" t="s">
        <v>7</v>
      </c>
      <c r="F256" s="8">
        <v>40739</v>
      </c>
      <c r="G256" s="8" t="s">
        <v>8</v>
      </c>
      <c r="H256" s="8">
        <v>554</v>
      </c>
      <c r="I256" s="8" t="s">
        <v>16</v>
      </c>
      <c r="J256" s="8">
        <v>1606448</v>
      </c>
      <c r="K256" s="8">
        <v>10</v>
      </c>
      <c r="L256" s="8">
        <v>11.83</v>
      </c>
      <c r="M256" s="8">
        <v>1583.69</v>
      </c>
      <c r="N256" s="8" t="s">
        <v>10</v>
      </c>
      <c r="O256" s="8" t="s">
        <v>11</v>
      </c>
      <c r="P256" s="9">
        <v>45340</v>
      </c>
      <c r="Q256" s="8" t="s">
        <v>43</v>
      </c>
      <c r="R256" s="10">
        <v>0</v>
      </c>
    </row>
    <row r="257" spans="1:18" x14ac:dyDescent="0.3">
      <c r="A257" s="7" t="s">
        <v>291</v>
      </c>
      <c r="B257" s="8" t="s">
        <v>24</v>
      </c>
      <c r="C257" s="8">
        <v>34</v>
      </c>
      <c r="D257" s="8" t="s">
        <v>6</v>
      </c>
      <c r="E257" s="8" t="s">
        <v>21</v>
      </c>
      <c r="F257" s="8">
        <v>95458</v>
      </c>
      <c r="G257" s="8" t="s">
        <v>15</v>
      </c>
      <c r="H257" s="8">
        <v>349</v>
      </c>
      <c r="I257" s="8" t="s">
        <v>9</v>
      </c>
      <c r="J257" s="8">
        <v>1713943</v>
      </c>
      <c r="K257" s="8">
        <v>10</v>
      </c>
      <c r="L257" s="8">
        <v>11.79</v>
      </c>
      <c r="M257" s="8">
        <v>1683.95</v>
      </c>
      <c r="N257" s="8" t="s">
        <v>42</v>
      </c>
      <c r="O257" s="8" t="s">
        <v>22</v>
      </c>
      <c r="P257" s="9">
        <v>44981</v>
      </c>
      <c r="Q257" s="8" t="s">
        <v>12</v>
      </c>
      <c r="R257" s="10">
        <v>0</v>
      </c>
    </row>
    <row r="258" spans="1:18" x14ac:dyDescent="0.3">
      <c r="A258" s="7" t="s">
        <v>292</v>
      </c>
      <c r="B258" s="8" t="s">
        <v>20</v>
      </c>
      <c r="C258" s="8">
        <v>24</v>
      </c>
      <c r="D258" s="8" t="s">
        <v>34</v>
      </c>
      <c r="E258" s="8" t="s">
        <v>7</v>
      </c>
      <c r="F258" s="8">
        <v>35042</v>
      </c>
      <c r="G258" s="8" t="s">
        <v>15</v>
      </c>
      <c r="H258" s="8">
        <v>314</v>
      </c>
      <c r="I258" s="8" t="s">
        <v>9</v>
      </c>
      <c r="J258" s="8">
        <v>323224</v>
      </c>
      <c r="K258" s="8">
        <v>15</v>
      </c>
      <c r="L258" s="8">
        <v>11.49</v>
      </c>
      <c r="M258" s="8">
        <v>206.32</v>
      </c>
      <c r="N258" s="8" t="s">
        <v>27</v>
      </c>
      <c r="O258" s="8" t="s">
        <v>18</v>
      </c>
      <c r="P258" s="9">
        <v>44803</v>
      </c>
      <c r="Q258" s="8" t="s">
        <v>29</v>
      </c>
      <c r="R258" s="10">
        <v>1</v>
      </c>
    </row>
    <row r="259" spans="1:18" x14ac:dyDescent="0.3">
      <c r="A259" s="7" t="s">
        <v>293</v>
      </c>
      <c r="B259" s="8" t="s">
        <v>14</v>
      </c>
      <c r="C259" s="8">
        <v>63</v>
      </c>
      <c r="D259" s="8" t="s">
        <v>31</v>
      </c>
      <c r="E259" s="8" t="s">
        <v>7</v>
      </c>
      <c r="F259" s="8">
        <v>62550</v>
      </c>
      <c r="G259" s="8" t="s">
        <v>15</v>
      </c>
      <c r="H259" s="8">
        <v>494</v>
      </c>
      <c r="I259" s="8" t="s">
        <v>9</v>
      </c>
      <c r="J259" s="8">
        <v>945479</v>
      </c>
      <c r="K259" s="8">
        <v>15</v>
      </c>
      <c r="L259" s="8">
        <v>7.39</v>
      </c>
      <c r="M259" s="8">
        <v>388.17</v>
      </c>
      <c r="N259" s="8" t="s">
        <v>17</v>
      </c>
      <c r="O259" s="8" t="s">
        <v>18</v>
      </c>
      <c r="P259" s="9">
        <v>44926</v>
      </c>
      <c r="Q259" s="8" t="s">
        <v>12</v>
      </c>
      <c r="R259" s="10">
        <v>0</v>
      </c>
    </row>
    <row r="260" spans="1:18" x14ac:dyDescent="0.3">
      <c r="A260" s="7" t="s">
        <v>294</v>
      </c>
      <c r="B260" s="8" t="s">
        <v>5</v>
      </c>
      <c r="C260" s="8">
        <v>26</v>
      </c>
      <c r="D260" s="8" t="s">
        <v>34</v>
      </c>
      <c r="E260" s="8" t="s">
        <v>21</v>
      </c>
      <c r="F260" s="8">
        <v>103690</v>
      </c>
      <c r="G260" s="8" t="s">
        <v>15</v>
      </c>
      <c r="H260" s="8">
        <v>750</v>
      </c>
      <c r="I260" s="8" t="s">
        <v>40</v>
      </c>
      <c r="J260" s="8">
        <v>1761250</v>
      </c>
      <c r="K260" s="8">
        <v>20</v>
      </c>
      <c r="L260" s="8">
        <v>12.7</v>
      </c>
      <c r="M260" s="8">
        <v>931.99</v>
      </c>
      <c r="N260" s="8" t="s">
        <v>8</v>
      </c>
      <c r="O260" s="8" t="s">
        <v>22</v>
      </c>
      <c r="P260" s="9">
        <v>45056</v>
      </c>
      <c r="Q260" s="8" t="s">
        <v>12</v>
      </c>
      <c r="R260" s="10">
        <v>0</v>
      </c>
    </row>
    <row r="261" spans="1:18" x14ac:dyDescent="0.3">
      <c r="A261" s="7" t="s">
        <v>295</v>
      </c>
      <c r="B261" s="8" t="s">
        <v>24</v>
      </c>
      <c r="C261" s="8">
        <v>25</v>
      </c>
      <c r="D261" s="8" t="s">
        <v>34</v>
      </c>
      <c r="E261" s="8" t="s">
        <v>21</v>
      </c>
      <c r="F261" s="8">
        <v>66590</v>
      </c>
      <c r="G261" s="8" t="s">
        <v>25</v>
      </c>
      <c r="H261" s="8">
        <v>503</v>
      </c>
      <c r="I261" s="8" t="s">
        <v>9</v>
      </c>
      <c r="J261" s="8">
        <v>1916036</v>
      </c>
      <c r="K261" s="8">
        <v>15</v>
      </c>
      <c r="L261" s="8">
        <v>9.4</v>
      </c>
      <c r="M261" s="8">
        <v>1000.6</v>
      </c>
      <c r="N261" s="8" t="s">
        <v>27</v>
      </c>
      <c r="O261" s="8" t="s">
        <v>28</v>
      </c>
      <c r="P261" s="9">
        <v>45319</v>
      </c>
      <c r="Q261" s="8" t="s">
        <v>43</v>
      </c>
      <c r="R261" s="10">
        <v>0</v>
      </c>
    </row>
    <row r="262" spans="1:18" x14ac:dyDescent="0.3">
      <c r="A262" s="7" t="s">
        <v>296</v>
      </c>
      <c r="B262" s="8" t="s">
        <v>33</v>
      </c>
      <c r="C262" s="8">
        <v>49</v>
      </c>
      <c r="D262" s="8" t="s">
        <v>31</v>
      </c>
      <c r="E262" s="8" t="s">
        <v>21</v>
      </c>
      <c r="F262" s="8">
        <v>103041</v>
      </c>
      <c r="G262" s="8" t="s">
        <v>8</v>
      </c>
      <c r="H262" s="8">
        <v>797</v>
      </c>
      <c r="I262" s="8" t="s">
        <v>40</v>
      </c>
      <c r="J262" s="8">
        <v>520976</v>
      </c>
      <c r="K262" s="8">
        <v>5</v>
      </c>
      <c r="L262" s="8">
        <v>8.4</v>
      </c>
      <c r="M262" s="8">
        <v>729.37</v>
      </c>
      <c r="N262" s="8" t="s">
        <v>10</v>
      </c>
      <c r="O262" s="8" t="s">
        <v>11</v>
      </c>
      <c r="P262" s="9">
        <v>45101</v>
      </c>
      <c r="Q262" s="8" t="s">
        <v>12</v>
      </c>
      <c r="R262" s="10">
        <v>0</v>
      </c>
    </row>
    <row r="263" spans="1:18" x14ac:dyDescent="0.3">
      <c r="A263" s="7" t="s">
        <v>297</v>
      </c>
      <c r="B263" s="8" t="s">
        <v>20</v>
      </c>
      <c r="C263" s="8">
        <v>43</v>
      </c>
      <c r="D263" s="8" t="s">
        <v>6</v>
      </c>
      <c r="E263" s="8" t="s">
        <v>21</v>
      </c>
      <c r="F263" s="8">
        <v>51236</v>
      </c>
      <c r="G263" s="8" t="s">
        <v>25</v>
      </c>
      <c r="H263" s="8">
        <v>597</v>
      </c>
      <c r="I263" s="8" t="s">
        <v>16</v>
      </c>
      <c r="J263" s="8">
        <v>946889</v>
      </c>
      <c r="K263" s="8">
        <v>5</v>
      </c>
      <c r="L263" s="8">
        <v>14.78</v>
      </c>
      <c r="M263" s="8">
        <v>2332.5</v>
      </c>
      <c r="N263" s="8" t="s">
        <v>42</v>
      </c>
      <c r="O263" s="8" t="s">
        <v>11</v>
      </c>
      <c r="P263" s="9">
        <v>44868</v>
      </c>
      <c r="Q263" s="8" t="s">
        <v>12</v>
      </c>
      <c r="R263" s="10">
        <v>0</v>
      </c>
    </row>
    <row r="264" spans="1:18" x14ac:dyDescent="0.3">
      <c r="A264" s="7" t="s">
        <v>298</v>
      </c>
      <c r="B264" s="8" t="s">
        <v>5</v>
      </c>
      <c r="C264" s="8">
        <v>49</v>
      </c>
      <c r="D264" s="8" t="s">
        <v>31</v>
      </c>
      <c r="E264" s="8" t="s">
        <v>21</v>
      </c>
      <c r="F264" s="8">
        <v>28904</v>
      </c>
      <c r="G264" s="8" t="s">
        <v>25</v>
      </c>
      <c r="H264" s="8">
        <v>544</v>
      </c>
      <c r="I264" s="8" t="s">
        <v>9</v>
      </c>
      <c r="J264" s="8">
        <v>158502</v>
      </c>
      <c r="K264" s="8">
        <v>10</v>
      </c>
      <c r="L264" s="8">
        <v>14.3</v>
      </c>
      <c r="M264" s="8">
        <v>188.88</v>
      </c>
      <c r="N264" s="8" t="s">
        <v>10</v>
      </c>
      <c r="O264" s="8" t="s">
        <v>18</v>
      </c>
      <c r="P264" s="9">
        <v>45024</v>
      </c>
      <c r="Q264" s="8" t="s">
        <v>12</v>
      </c>
      <c r="R264" s="10">
        <v>0</v>
      </c>
    </row>
    <row r="265" spans="1:18" x14ac:dyDescent="0.3">
      <c r="A265" s="7" t="s">
        <v>299</v>
      </c>
      <c r="B265" s="8" t="s">
        <v>36</v>
      </c>
      <c r="C265" s="8">
        <v>44</v>
      </c>
      <c r="D265" s="8" t="s">
        <v>6</v>
      </c>
      <c r="E265" s="8" t="s">
        <v>21</v>
      </c>
      <c r="F265" s="8">
        <v>26518</v>
      </c>
      <c r="G265" s="8" t="s">
        <v>8</v>
      </c>
      <c r="H265" s="8">
        <v>510</v>
      </c>
      <c r="I265" s="8" t="s">
        <v>9</v>
      </c>
      <c r="J265" s="8">
        <v>639121</v>
      </c>
      <c r="K265" s="8">
        <v>10</v>
      </c>
      <c r="L265" s="8">
        <v>12.71</v>
      </c>
      <c r="M265" s="8">
        <v>676.94</v>
      </c>
      <c r="N265" s="8" t="s">
        <v>27</v>
      </c>
      <c r="O265" s="8" t="s">
        <v>28</v>
      </c>
      <c r="P265" s="9">
        <v>45125</v>
      </c>
      <c r="Q265" s="8" t="s">
        <v>12</v>
      </c>
      <c r="R265" s="10">
        <v>0</v>
      </c>
    </row>
    <row r="266" spans="1:18" x14ac:dyDescent="0.3">
      <c r="A266" s="7" t="s">
        <v>300</v>
      </c>
      <c r="B266" s="8" t="s">
        <v>5</v>
      </c>
      <c r="C266" s="8">
        <v>33</v>
      </c>
      <c r="D266" s="8" t="s">
        <v>6</v>
      </c>
      <c r="E266" s="8" t="s">
        <v>21</v>
      </c>
      <c r="F266" s="8">
        <v>109219</v>
      </c>
      <c r="G266" s="8" t="s">
        <v>15</v>
      </c>
      <c r="H266" s="8">
        <v>618</v>
      </c>
      <c r="I266" s="8" t="s">
        <v>16</v>
      </c>
      <c r="J266" s="8">
        <v>392607</v>
      </c>
      <c r="K266" s="8">
        <v>5</v>
      </c>
      <c r="L266" s="8">
        <v>10.69</v>
      </c>
      <c r="M266" s="8">
        <v>699.49</v>
      </c>
      <c r="N266" s="8" t="s">
        <v>8</v>
      </c>
      <c r="O266" s="8" t="s">
        <v>11</v>
      </c>
      <c r="P266" s="9">
        <v>44774</v>
      </c>
      <c r="Q266" s="8" t="s">
        <v>29</v>
      </c>
      <c r="R266" s="10">
        <v>1</v>
      </c>
    </row>
    <row r="267" spans="1:18" x14ac:dyDescent="0.3">
      <c r="A267" s="7" t="s">
        <v>301</v>
      </c>
      <c r="B267" s="8" t="s">
        <v>5</v>
      </c>
      <c r="C267" s="8">
        <v>23</v>
      </c>
      <c r="D267" s="8" t="s">
        <v>34</v>
      </c>
      <c r="E267" s="8" t="s">
        <v>21</v>
      </c>
      <c r="F267" s="8">
        <v>133756</v>
      </c>
      <c r="G267" s="8" t="s">
        <v>15</v>
      </c>
      <c r="H267" s="8">
        <v>742</v>
      </c>
      <c r="I267" s="8" t="s">
        <v>40</v>
      </c>
      <c r="J267" s="8">
        <v>734883</v>
      </c>
      <c r="K267" s="8">
        <v>20</v>
      </c>
      <c r="L267" s="8">
        <v>9.42</v>
      </c>
      <c r="M267" s="8">
        <v>288.44</v>
      </c>
      <c r="N267" s="8" t="s">
        <v>10</v>
      </c>
      <c r="O267" s="8" t="s">
        <v>11</v>
      </c>
      <c r="P267" s="9">
        <v>44876</v>
      </c>
      <c r="Q267" s="8" t="s">
        <v>43</v>
      </c>
      <c r="R267" s="10">
        <v>0</v>
      </c>
    </row>
    <row r="268" spans="1:18" x14ac:dyDescent="0.3">
      <c r="A268" s="7" t="s">
        <v>302</v>
      </c>
      <c r="B268" s="8" t="s">
        <v>36</v>
      </c>
      <c r="C268" s="8">
        <v>21</v>
      </c>
      <c r="D268" s="8" t="s">
        <v>34</v>
      </c>
      <c r="E268" s="8" t="s">
        <v>21</v>
      </c>
      <c r="F268" s="8">
        <v>69755</v>
      </c>
      <c r="G268" s="8" t="s">
        <v>8</v>
      </c>
      <c r="H268" s="8">
        <v>508</v>
      </c>
      <c r="I268" s="8" t="s">
        <v>9</v>
      </c>
      <c r="J268" s="8">
        <v>564351</v>
      </c>
      <c r="K268" s="8">
        <v>5</v>
      </c>
      <c r="L268" s="8">
        <v>13.42</v>
      </c>
      <c r="M268" s="8">
        <v>1262.27</v>
      </c>
      <c r="N268" s="8" t="s">
        <v>8</v>
      </c>
      <c r="O268" s="8" t="s">
        <v>28</v>
      </c>
      <c r="P268" s="9">
        <v>44995</v>
      </c>
      <c r="Q268" s="8" t="s">
        <v>29</v>
      </c>
      <c r="R268" s="10">
        <v>1</v>
      </c>
    </row>
    <row r="269" spans="1:18" x14ac:dyDescent="0.3">
      <c r="A269" s="7" t="s">
        <v>303</v>
      </c>
      <c r="B269" s="8" t="s">
        <v>14</v>
      </c>
      <c r="C269" s="8">
        <v>53</v>
      </c>
      <c r="D269" s="8" t="s">
        <v>31</v>
      </c>
      <c r="E269" s="8" t="s">
        <v>7</v>
      </c>
      <c r="F269" s="8">
        <v>32072</v>
      </c>
      <c r="G269" s="8" t="s">
        <v>15</v>
      </c>
      <c r="H269" s="8">
        <v>749</v>
      </c>
      <c r="I269" s="8" t="s">
        <v>40</v>
      </c>
      <c r="J269" s="8">
        <v>577663</v>
      </c>
      <c r="K269" s="8">
        <v>10</v>
      </c>
      <c r="L269" s="8">
        <v>11.65</v>
      </c>
      <c r="M269" s="8">
        <v>560.80999999999995</v>
      </c>
      <c r="N269" s="8" t="s">
        <v>17</v>
      </c>
      <c r="O269" s="8" t="s">
        <v>22</v>
      </c>
      <c r="P269" s="9">
        <v>45410</v>
      </c>
      <c r="Q269" s="8" t="s">
        <v>12</v>
      </c>
      <c r="R269" s="10">
        <v>0</v>
      </c>
    </row>
    <row r="270" spans="1:18" x14ac:dyDescent="0.3">
      <c r="A270" s="7" t="s">
        <v>304</v>
      </c>
      <c r="B270" s="8" t="s">
        <v>47</v>
      </c>
      <c r="C270" s="8">
        <v>22</v>
      </c>
      <c r="D270" s="8" t="s">
        <v>34</v>
      </c>
      <c r="E270" s="8" t="s">
        <v>21</v>
      </c>
      <c r="F270" s="8">
        <v>45833</v>
      </c>
      <c r="G270" s="8" t="s">
        <v>25</v>
      </c>
      <c r="H270" s="8">
        <v>837</v>
      </c>
      <c r="I270" s="8" t="s">
        <v>40</v>
      </c>
      <c r="J270" s="8">
        <v>1195979</v>
      </c>
      <c r="K270" s="8">
        <v>20</v>
      </c>
      <c r="L270" s="8">
        <v>12.61</v>
      </c>
      <c r="M270" s="8">
        <v>628.39</v>
      </c>
      <c r="N270" s="8" t="s">
        <v>17</v>
      </c>
      <c r="O270" s="8" t="s">
        <v>28</v>
      </c>
      <c r="P270" s="9">
        <v>45132</v>
      </c>
      <c r="Q270" s="8" t="s">
        <v>12</v>
      </c>
      <c r="R270" s="10">
        <v>0</v>
      </c>
    </row>
    <row r="271" spans="1:18" x14ac:dyDescent="0.3">
      <c r="A271" s="7" t="s">
        <v>305</v>
      </c>
      <c r="B271" s="8" t="s">
        <v>5</v>
      </c>
      <c r="C271" s="8">
        <v>21</v>
      </c>
      <c r="D271" s="8" t="s">
        <v>34</v>
      </c>
      <c r="E271" s="8" t="s">
        <v>21</v>
      </c>
      <c r="F271" s="8">
        <v>83385</v>
      </c>
      <c r="G271" s="8" t="s">
        <v>25</v>
      </c>
      <c r="H271" s="8">
        <v>768</v>
      </c>
      <c r="I271" s="8" t="s">
        <v>40</v>
      </c>
      <c r="J271" s="8">
        <v>1901354</v>
      </c>
      <c r="K271" s="8">
        <v>5</v>
      </c>
      <c r="L271" s="8">
        <v>8.3699999999999992</v>
      </c>
      <c r="M271" s="8">
        <v>2652.39</v>
      </c>
      <c r="N271" s="8" t="s">
        <v>27</v>
      </c>
      <c r="O271" s="8" t="s">
        <v>18</v>
      </c>
      <c r="P271" s="9">
        <v>45390</v>
      </c>
      <c r="Q271" s="8" t="s">
        <v>43</v>
      </c>
      <c r="R271" s="10">
        <v>0</v>
      </c>
    </row>
    <row r="272" spans="1:18" x14ac:dyDescent="0.3">
      <c r="A272" s="7" t="s">
        <v>306</v>
      </c>
      <c r="B272" s="8" t="s">
        <v>39</v>
      </c>
      <c r="C272" s="8">
        <v>58</v>
      </c>
      <c r="D272" s="8" t="s">
        <v>31</v>
      </c>
      <c r="E272" s="8" t="s">
        <v>7</v>
      </c>
      <c r="F272" s="8">
        <v>107987</v>
      </c>
      <c r="G272" s="8" t="s">
        <v>25</v>
      </c>
      <c r="H272" s="8">
        <v>324</v>
      </c>
      <c r="I272" s="8" t="s">
        <v>9</v>
      </c>
      <c r="J272" s="8">
        <v>1963173</v>
      </c>
      <c r="K272" s="8">
        <v>5</v>
      </c>
      <c r="L272" s="8">
        <v>8.83</v>
      </c>
      <c r="M272" s="8">
        <v>2889.14</v>
      </c>
      <c r="N272" s="8" t="s">
        <v>27</v>
      </c>
      <c r="O272" s="8" t="s">
        <v>22</v>
      </c>
      <c r="P272" s="9">
        <v>45388</v>
      </c>
      <c r="Q272" s="8" t="s">
        <v>29</v>
      </c>
      <c r="R272" s="10">
        <v>1</v>
      </c>
    </row>
    <row r="273" spans="1:18" x14ac:dyDescent="0.3">
      <c r="A273" s="7" t="s">
        <v>307</v>
      </c>
      <c r="B273" s="8" t="s">
        <v>33</v>
      </c>
      <c r="C273" s="8">
        <v>29</v>
      </c>
      <c r="D273" s="8" t="s">
        <v>34</v>
      </c>
      <c r="E273" s="8" t="s">
        <v>21</v>
      </c>
      <c r="F273" s="8">
        <v>44193</v>
      </c>
      <c r="G273" s="8" t="s">
        <v>15</v>
      </c>
      <c r="H273" s="8">
        <v>615</v>
      </c>
      <c r="I273" s="8" t="s">
        <v>16</v>
      </c>
      <c r="J273" s="8">
        <v>622728</v>
      </c>
      <c r="K273" s="8">
        <v>10</v>
      </c>
      <c r="L273" s="8">
        <v>13.08</v>
      </c>
      <c r="M273" s="8">
        <v>678.77</v>
      </c>
      <c r="N273" s="8" t="s">
        <v>10</v>
      </c>
      <c r="O273" s="8" t="s">
        <v>28</v>
      </c>
      <c r="P273" s="9">
        <v>44735</v>
      </c>
      <c r="Q273" s="8" t="s">
        <v>12</v>
      </c>
      <c r="R273" s="10">
        <v>0</v>
      </c>
    </row>
    <row r="274" spans="1:18" x14ac:dyDescent="0.3">
      <c r="A274" s="7" t="s">
        <v>308</v>
      </c>
      <c r="B274" s="8" t="s">
        <v>47</v>
      </c>
      <c r="C274" s="8">
        <v>39</v>
      </c>
      <c r="D274" s="8" t="s">
        <v>6</v>
      </c>
      <c r="E274" s="8" t="s">
        <v>21</v>
      </c>
      <c r="F274" s="8">
        <v>127172</v>
      </c>
      <c r="G274" s="8" t="s">
        <v>15</v>
      </c>
      <c r="H274" s="8">
        <v>305</v>
      </c>
      <c r="I274" s="8" t="s">
        <v>9</v>
      </c>
      <c r="J274" s="8">
        <v>559855</v>
      </c>
      <c r="K274" s="8">
        <v>15</v>
      </c>
      <c r="L274" s="8">
        <v>11.85</v>
      </c>
      <c r="M274" s="8">
        <v>368.57</v>
      </c>
      <c r="N274" s="8" t="s">
        <v>27</v>
      </c>
      <c r="O274" s="8" t="s">
        <v>18</v>
      </c>
      <c r="P274" s="9">
        <v>44840</v>
      </c>
      <c r="Q274" s="8" t="s">
        <v>43</v>
      </c>
      <c r="R274" s="10">
        <v>0</v>
      </c>
    </row>
    <row r="275" spans="1:18" x14ac:dyDescent="0.3">
      <c r="A275" s="7" t="s">
        <v>309</v>
      </c>
      <c r="B275" s="8" t="s">
        <v>52</v>
      </c>
      <c r="C275" s="8">
        <v>42</v>
      </c>
      <c r="D275" s="8" t="s">
        <v>6</v>
      </c>
      <c r="E275" s="8" t="s">
        <v>21</v>
      </c>
      <c r="F275" s="8">
        <v>39604</v>
      </c>
      <c r="G275" s="8" t="s">
        <v>15</v>
      </c>
      <c r="H275" s="8">
        <v>368</v>
      </c>
      <c r="I275" s="8" t="s">
        <v>9</v>
      </c>
      <c r="J275" s="8">
        <v>591946</v>
      </c>
      <c r="K275" s="8">
        <v>15</v>
      </c>
      <c r="L275" s="8">
        <v>10.63</v>
      </c>
      <c r="M275" s="8">
        <v>349.58</v>
      </c>
      <c r="N275" s="8" t="s">
        <v>42</v>
      </c>
      <c r="O275" s="8" t="s">
        <v>18</v>
      </c>
      <c r="P275" s="9">
        <v>44690</v>
      </c>
      <c r="Q275" s="8" t="s">
        <v>43</v>
      </c>
      <c r="R275" s="10">
        <v>0</v>
      </c>
    </row>
    <row r="276" spans="1:18" x14ac:dyDescent="0.3">
      <c r="A276" s="7" t="s">
        <v>310</v>
      </c>
      <c r="B276" s="8" t="s">
        <v>45</v>
      </c>
      <c r="C276" s="8">
        <v>36</v>
      </c>
      <c r="D276" s="8" t="s">
        <v>6</v>
      </c>
      <c r="E276" s="8" t="s">
        <v>7</v>
      </c>
      <c r="F276" s="8">
        <v>59953</v>
      </c>
      <c r="G276" s="8" t="s">
        <v>15</v>
      </c>
      <c r="H276" s="8">
        <v>477</v>
      </c>
      <c r="I276" s="8" t="s">
        <v>9</v>
      </c>
      <c r="J276" s="8">
        <v>1613691</v>
      </c>
      <c r="K276" s="8">
        <v>10</v>
      </c>
      <c r="L276" s="8">
        <v>9.7200000000000006</v>
      </c>
      <c r="M276" s="8">
        <v>1307.0899999999999</v>
      </c>
      <c r="N276" s="8" t="s">
        <v>10</v>
      </c>
      <c r="O276" s="8" t="s">
        <v>28</v>
      </c>
      <c r="P276" s="9">
        <v>44714</v>
      </c>
      <c r="Q276" s="8" t="s">
        <v>12</v>
      </c>
      <c r="R276" s="10">
        <v>0</v>
      </c>
    </row>
    <row r="277" spans="1:18" x14ac:dyDescent="0.3">
      <c r="A277" s="7" t="s">
        <v>311</v>
      </c>
      <c r="B277" s="8" t="s">
        <v>52</v>
      </c>
      <c r="C277" s="8">
        <v>65</v>
      </c>
      <c r="D277" s="8" t="s">
        <v>31</v>
      </c>
      <c r="E277" s="8" t="s">
        <v>7</v>
      </c>
      <c r="F277" s="8">
        <v>86840</v>
      </c>
      <c r="G277" s="8" t="s">
        <v>25</v>
      </c>
      <c r="H277" s="8">
        <v>412</v>
      </c>
      <c r="I277" s="8" t="s">
        <v>9</v>
      </c>
      <c r="J277" s="8">
        <v>1035077</v>
      </c>
      <c r="K277" s="8">
        <v>10</v>
      </c>
      <c r="L277" s="8">
        <v>10.26</v>
      </c>
      <c r="M277" s="8">
        <v>884.99</v>
      </c>
      <c r="N277" s="8" t="s">
        <v>42</v>
      </c>
      <c r="O277" s="8" t="s">
        <v>11</v>
      </c>
      <c r="P277" s="9">
        <v>45452</v>
      </c>
      <c r="Q277" s="8" t="s">
        <v>43</v>
      </c>
      <c r="R277" s="10">
        <v>0</v>
      </c>
    </row>
    <row r="278" spans="1:18" x14ac:dyDescent="0.3">
      <c r="A278" s="7" t="s">
        <v>312</v>
      </c>
      <c r="B278" s="8" t="s">
        <v>52</v>
      </c>
      <c r="C278" s="8">
        <v>31</v>
      </c>
      <c r="D278" s="8" t="s">
        <v>6</v>
      </c>
      <c r="E278" s="8" t="s">
        <v>21</v>
      </c>
      <c r="F278" s="8">
        <v>145041</v>
      </c>
      <c r="G278" s="8" t="s">
        <v>8</v>
      </c>
      <c r="H278" s="8">
        <v>338</v>
      </c>
      <c r="I278" s="8" t="s">
        <v>9</v>
      </c>
      <c r="J278" s="8">
        <v>1060267</v>
      </c>
      <c r="K278" s="8">
        <v>15</v>
      </c>
      <c r="L278" s="8">
        <v>14.48</v>
      </c>
      <c r="M278" s="8">
        <v>852.93</v>
      </c>
      <c r="N278" s="8" t="s">
        <v>8</v>
      </c>
      <c r="O278" s="8" t="s">
        <v>22</v>
      </c>
      <c r="P278" s="9">
        <v>44794</v>
      </c>
      <c r="Q278" s="8" t="s">
        <v>29</v>
      </c>
      <c r="R278" s="10">
        <v>1</v>
      </c>
    </row>
    <row r="279" spans="1:18" x14ac:dyDescent="0.3">
      <c r="A279" s="7" t="s">
        <v>313</v>
      </c>
      <c r="B279" s="8" t="s">
        <v>47</v>
      </c>
      <c r="C279" s="8">
        <v>41</v>
      </c>
      <c r="D279" s="8" t="s">
        <v>6</v>
      </c>
      <c r="E279" s="8" t="s">
        <v>7</v>
      </c>
      <c r="F279" s="8">
        <v>118704</v>
      </c>
      <c r="G279" s="8" t="s">
        <v>25</v>
      </c>
      <c r="H279" s="8">
        <v>428</v>
      </c>
      <c r="I279" s="8" t="s">
        <v>9</v>
      </c>
      <c r="J279" s="8">
        <v>1518848</v>
      </c>
      <c r="K279" s="8">
        <v>5</v>
      </c>
      <c r="L279" s="8">
        <v>12.26</v>
      </c>
      <c r="M279" s="8">
        <v>3103.51</v>
      </c>
      <c r="N279" s="8" t="s">
        <v>10</v>
      </c>
      <c r="O279" s="8" t="s">
        <v>18</v>
      </c>
      <c r="P279" s="9">
        <v>44652</v>
      </c>
      <c r="Q279" s="8" t="s">
        <v>43</v>
      </c>
      <c r="R279" s="10">
        <v>0</v>
      </c>
    </row>
    <row r="280" spans="1:18" x14ac:dyDescent="0.3">
      <c r="A280" s="7" t="s">
        <v>314</v>
      </c>
      <c r="B280" s="8" t="s">
        <v>52</v>
      </c>
      <c r="C280" s="8">
        <v>62</v>
      </c>
      <c r="D280" s="8" t="s">
        <v>31</v>
      </c>
      <c r="E280" s="8" t="s">
        <v>21</v>
      </c>
      <c r="F280" s="8">
        <v>92349</v>
      </c>
      <c r="G280" s="8" t="s">
        <v>25</v>
      </c>
      <c r="H280" s="8">
        <v>442</v>
      </c>
      <c r="I280" s="8" t="s">
        <v>9</v>
      </c>
      <c r="J280" s="8">
        <v>383252</v>
      </c>
      <c r="K280" s="8">
        <v>20</v>
      </c>
      <c r="L280" s="8">
        <v>12.96</v>
      </c>
      <c r="M280" s="8">
        <v>206.96</v>
      </c>
      <c r="N280" s="8" t="s">
        <v>42</v>
      </c>
      <c r="O280" s="8" t="s">
        <v>11</v>
      </c>
      <c r="P280" s="9">
        <v>44955</v>
      </c>
      <c r="Q280" s="8" t="s">
        <v>43</v>
      </c>
      <c r="R280" s="10">
        <v>0</v>
      </c>
    </row>
    <row r="281" spans="1:18" x14ac:dyDescent="0.3">
      <c r="A281" s="7" t="s">
        <v>315</v>
      </c>
      <c r="B281" s="8" t="s">
        <v>39</v>
      </c>
      <c r="C281" s="8">
        <v>27</v>
      </c>
      <c r="D281" s="8" t="s">
        <v>34</v>
      </c>
      <c r="E281" s="8" t="s">
        <v>21</v>
      </c>
      <c r="F281" s="8">
        <v>40882</v>
      </c>
      <c r="G281" s="8" t="s">
        <v>8</v>
      </c>
      <c r="H281" s="8">
        <v>655</v>
      </c>
      <c r="I281" s="8" t="s">
        <v>16</v>
      </c>
      <c r="J281" s="8">
        <v>1287478</v>
      </c>
      <c r="K281" s="8">
        <v>10</v>
      </c>
      <c r="L281" s="8">
        <v>9.5500000000000007</v>
      </c>
      <c r="M281" s="8">
        <v>1024.6199999999999</v>
      </c>
      <c r="N281" s="8" t="s">
        <v>17</v>
      </c>
      <c r="O281" s="8" t="s">
        <v>11</v>
      </c>
      <c r="P281" s="9">
        <v>44872</v>
      </c>
      <c r="Q281" s="8" t="s">
        <v>43</v>
      </c>
      <c r="R281" s="10">
        <v>0</v>
      </c>
    </row>
    <row r="282" spans="1:18" x14ac:dyDescent="0.3">
      <c r="A282" s="7" t="s">
        <v>316</v>
      </c>
      <c r="B282" s="8" t="s">
        <v>45</v>
      </c>
      <c r="C282" s="8">
        <v>39</v>
      </c>
      <c r="D282" s="8" t="s">
        <v>6</v>
      </c>
      <c r="E282" s="8" t="s">
        <v>21</v>
      </c>
      <c r="F282" s="8">
        <v>106114</v>
      </c>
      <c r="G282" s="8" t="s">
        <v>25</v>
      </c>
      <c r="H282" s="8">
        <v>549</v>
      </c>
      <c r="I282" s="8" t="s">
        <v>9</v>
      </c>
      <c r="J282" s="8">
        <v>541696</v>
      </c>
      <c r="K282" s="8">
        <v>5</v>
      </c>
      <c r="L282" s="8">
        <v>8.6199999999999992</v>
      </c>
      <c r="M282" s="8">
        <v>778.24</v>
      </c>
      <c r="N282" s="8" t="s">
        <v>27</v>
      </c>
      <c r="O282" s="8" t="s">
        <v>22</v>
      </c>
      <c r="P282" s="9">
        <v>44660</v>
      </c>
      <c r="Q282" s="8" t="s">
        <v>29</v>
      </c>
      <c r="R282" s="10">
        <v>1</v>
      </c>
    </row>
    <row r="283" spans="1:18" x14ac:dyDescent="0.3">
      <c r="A283" s="7" t="s">
        <v>317</v>
      </c>
      <c r="B283" s="8" t="s">
        <v>36</v>
      </c>
      <c r="C283" s="8">
        <v>33</v>
      </c>
      <c r="D283" s="8" t="s">
        <v>6</v>
      </c>
      <c r="E283" s="8" t="s">
        <v>7</v>
      </c>
      <c r="F283" s="8">
        <v>109959</v>
      </c>
      <c r="G283" s="8" t="s">
        <v>8</v>
      </c>
      <c r="H283" s="8">
        <v>321</v>
      </c>
      <c r="I283" s="8" t="s">
        <v>9</v>
      </c>
      <c r="J283" s="8">
        <v>1740464</v>
      </c>
      <c r="K283" s="8">
        <v>5</v>
      </c>
      <c r="L283" s="8">
        <v>11.34</v>
      </c>
      <c r="M283" s="8">
        <v>3289.48</v>
      </c>
      <c r="N283" s="8" t="s">
        <v>17</v>
      </c>
      <c r="O283" s="8" t="s">
        <v>18</v>
      </c>
      <c r="P283" s="9">
        <v>45305</v>
      </c>
      <c r="Q283" s="8" t="s">
        <v>43</v>
      </c>
      <c r="R283" s="10">
        <v>0</v>
      </c>
    </row>
    <row r="284" spans="1:18" x14ac:dyDescent="0.3">
      <c r="A284" s="7" t="s">
        <v>318</v>
      </c>
      <c r="B284" s="8" t="s">
        <v>5</v>
      </c>
      <c r="C284" s="8">
        <v>38</v>
      </c>
      <c r="D284" s="8" t="s">
        <v>6</v>
      </c>
      <c r="E284" s="8" t="s">
        <v>7</v>
      </c>
      <c r="F284" s="8">
        <v>145982</v>
      </c>
      <c r="G284" s="8" t="s">
        <v>15</v>
      </c>
      <c r="H284" s="8">
        <v>371</v>
      </c>
      <c r="I284" s="8" t="s">
        <v>9</v>
      </c>
      <c r="J284" s="8">
        <v>301386</v>
      </c>
      <c r="K284" s="8">
        <v>15</v>
      </c>
      <c r="L284" s="8">
        <v>7.14</v>
      </c>
      <c r="M284" s="8">
        <v>119.55</v>
      </c>
      <c r="N284" s="8" t="s">
        <v>10</v>
      </c>
      <c r="O284" s="8" t="s">
        <v>22</v>
      </c>
      <c r="P284" s="9">
        <v>44898</v>
      </c>
      <c r="Q284" s="8" t="s">
        <v>43</v>
      </c>
      <c r="R284" s="10">
        <v>0</v>
      </c>
    </row>
    <row r="285" spans="1:18" x14ac:dyDescent="0.3">
      <c r="A285" s="7" t="s">
        <v>319</v>
      </c>
      <c r="B285" s="8" t="s">
        <v>14</v>
      </c>
      <c r="C285" s="8">
        <v>40</v>
      </c>
      <c r="D285" s="8" t="s">
        <v>6</v>
      </c>
      <c r="E285" s="8" t="s">
        <v>7</v>
      </c>
      <c r="F285" s="8">
        <v>84062</v>
      </c>
      <c r="G285" s="8" t="s">
        <v>15</v>
      </c>
      <c r="H285" s="8">
        <v>828</v>
      </c>
      <c r="I285" s="8" t="s">
        <v>40</v>
      </c>
      <c r="J285" s="8">
        <v>1441019</v>
      </c>
      <c r="K285" s="8">
        <v>5</v>
      </c>
      <c r="L285" s="8">
        <v>8.35</v>
      </c>
      <c r="M285" s="8">
        <v>2005.42</v>
      </c>
      <c r="N285" s="8" t="s">
        <v>42</v>
      </c>
      <c r="O285" s="8" t="s">
        <v>11</v>
      </c>
      <c r="P285" s="9">
        <v>44796</v>
      </c>
      <c r="Q285" s="8" t="s">
        <v>12</v>
      </c>
      <c r="R285" s="10">
        <v>0</v>
      </c>
    </row>
    <row r="286" spans="1:18" x14ac:dyDescent="0.3">
      <c r="A286" s="7" t="s">
        <v>320</v>
      </c>
      <c r="B286" s="8" t="s">
        <v>45</v>
      </c>
      <c r="C286" s="8">
        <v>36</v>
      </c>
      <c r="D286" s="8" t="s">
        <v>6</v>
      </c>
      <c r="E286" s="8" t="s">
        <v>7</v>
      </c>
      <c r="F286" s="8">
        <v>50563</v>
      </c>
      <c r="G286" s="8" t="s">
        <v>15</v>
      </c>
      <c r="H286" s="8">
        <v>791</v>
      </c>
      <c r="I286" s="8" t="s">
        <v>40</v>
      </c>
      <c r="J286" s="8">
        <v>712386</v>
      </c>
      <c r="K286" s="8">
        <v>15</v>
      </c>
      <c r="L286" s="8">
        <v>8.31</v>
      </c>
      <c r="M286" s="8">
        <v>328.88</v>
      </c>
      <c r="N286" s="8" t="s">
        <v>17</v>
      </c>
      <c r="O286" s="8" t="s">
        <v>22</v>
      </c>
      <c r="P286" s="9">
        <v>45004</v>
      </c>
      <c r="Q286" s="8" t="s">
        <v>43</v>
      </c>
      <c r="R286" s="10">
        <v>0</v>
      </c>
    </row>
    <row r="287" spans="1:18" x14ac:dyDescent="0.3">
      <c r="A287" s="7" t="s">
        <v>321</v>
      </c>
      <c r="B287" s="8" t="s">
        <v>33</v>
      </c>
      <c r="C287" s="8">
        <v>50</v>
      </c>
      <c r="D287" s="8" t="s">
        <v>31</v>
      </c>
      <c r="E287" s="8" t="s">
        <v>7</v>
      </c>
      <c r="F287" s="8">
        <v>71594</v>
      </c>
      <c r="G287" s="8" t="s">
        <v>8</v>
      </c>
      <c r="H287" s="8">
        <v>743</v>
      </c>
      <c r="I287" s="8" t="s">
        <v>40</v>
      </c>
      <c r="J287" s="8">
        <v>1981474</v>
      </c>
      <c r="K287" s="8">
        <v>5</v>
      </c>
      <c r="L287" s="8">
        <v>12.81</v>
      </c>
      <c r="M287" s="8">
        <v>4230.45</v>
      </c>
      <c r="N287" s="8" t="s">
        <v>17</v>
      </c>
      <c r="O287" s="8" t="s">
        <v>28</v>
      </c>
      <c r="P287" s="9">
        <v>45122</v>
      </c>
      <c r="Q287" s="8" t="s">
        <v>12</v>
      </c>
      <c r="R287" s="10">
        <v>0</v>
      </c>
    </row>
    <row r="288" spans="1:18" x14ac:dyDescent="0.3">
      <c r="A288" s="7" t="s">
        <v>322</v>
      </c>
      <c r="B288" s="8" t="s">
        <v>36</v>
      </c>
      <c r="C288" s="8">
        <v>53</v>
      </c>
      <c r="D288" s="8" t="s">
        <v>31</v>
      </c>
      <c r="E288" s="8" t="s">
        <v>21</v>
      </c>
      <c r="F288" s="8">
        <v>60554</v>
      </c>
      <c r="G288" s="8" t="s">
        <v>8</v>
      </c>
      <c r="H288" s="8">
        <v>746</v>
      </c>
      <c r="I288" s="8" t="s">
        <v>40</v>
      </c>
      <c r="J288" s="8">
        <v>143846</v>
      </c>
      <c r="K288" s="8">
        <v>5</v>
      </c>
      <c r="L288" s="8">
        <v>7.08</v>
      </c>
      <c r="M288" s="8">
        <v>169.74</v>
      </c>
      <c r="N288" s="8" t="s">
        <v>27</v>
      </c>
      <c r="O288" s="8" t="s">
        <v>11</v>
      </c>
      <c r="P288" s="9">
        <v>44896</v>
      </c>
      <c r="Q288" s="8" t="s">
        <v>43</v>
      </c>
      <c r="R288" s="10">
        <v>0</v>
      </c>
    </row>
    <row r="289" spans="1:18" x14ac:dyDescent="0.3">
      <c r="A289" s="7" t="s">
        <v>323</v>
      </c>
      <c r="B289" s="8" t="s">
        <v>47</v>
      </c>
      <c r="C289" s="8">
        <v>36</v>
      </c>
      <c r="D289" s="8" t="s">
        <v>6</v>
      </c>
      <c r="E289" s="8" t="s">
        <v>21</v>
      </c>
      <c r="F289" s="8">
        <v>112735</v>
      </c>
      <c r="G289" s="8" t="s">
        <v>8</v>
      </c>
      <c r="H289" s="8">
        <v>466</v>
      </c>
      <c r="I289" s="8" t="s">
        <v>9</v>
      </c>
      <c r="J289" s="8">
        <v>902671</v>
      </c>
      <c r="K289" s="8">
        <v>10</v>
      </c>
      <c r="L289" s="8">
        <v>8.74</v>
      </c>
      <c r="M289" s="8">
        <v>657.45</v>
      </c>
      <c r="N289" s="8" t="s">
        <v>8</v>
      </c>
      <c r="O289" s="8" t="s">
        <v>22</v>
      </c>
      <c r="P289" s="9">
        <v>44743</v>
      </c>
      <c r="Q289" s="8" t="s">
        <v>12</v>
      </c>
      <c r="R289" s="10">
        <v>0</v>
      </c>
    </row>
    <row r="290" spans="1:18" x14ac:dyDescent="0.3">
      <c r="A290" s="7" t="s">
        <v>324</v>
      </c>
      <c r="B290" s="8" t="s">
        <v>5</v>
      </c>
      <c r="C290" s="8">
        <v>50</v>
      </c>
      <c r="D290" s="8" t="s">
        <v>31</v>
      </c>
      <c r="E290" s="8" t="s">
        <v>7</v>
      </c>
      <c r="F290" s="8">
        <v>102731</v>
      </c>
      <c r="G290" s="8" t="s">
        <v>8</v>
      </c>
      <c r="H290" s="8">
        <v>588</v>
      </c>
      <c r="I290" s="8" t="s">
        <v>16</v>
      </c>
      <c r="J290" s="8">
        <v>1279415</v>
      </c>
      <c r="K290" s="8">
        <v>5</v>
      </c>
      <c r="L290" s="8">
        <v>12.15</v>
      </c>
      <c r="M290" s="8">
        <v>2590.8200000000002</v>
      </c>
      <c r="N290" s="8" t="s">
        <v>27</v>
      </c>
      <c r="O290" s="8" t="s">
        <v>11</v>
      </c>
      <c r="P290" s="9">
        <v>45004</v>
      </c>
      <c r="Q290" s="8" t="s">
        <v>29</v>
      </c>
      <c r="R290" s="10">
        <v>1</v>
      </c>
    </row>
    <row r="291" spans="1:18" x14ac:dyDescent="0.3">
      <c r="A291" s="7" t="s">
        <v>325</v>
      </c>
      <c r="B291" s="8" t="s">
        <v>39</v>
      </c>
      <c r="C291" s="8">
        <v>36</v>
      </c>
      <c r="D291" s="8" t="s">
        <v>6</v>
      </c>
      <c r="E291" s="8" t="s">
        <v>21</v>
      </c>
      <c r="F291" s="8">
        <v>114454</v>
      </c>
      <c r="G291" s="8" t="s">
        <v>15</v>
      </c>
      <c r="H291" s="8">
        <v>716</v>
      </c>
      <c r="I291" s="8" t="s">
        <v>40</v>
      </c>
      <c r="J291" s="8">
        <v>1406254</v>
      </c>
      <c r="K291" s="8">
        <v>10</v>
      </c>
      <c r="L291" s="8">
        <v>8.65</v>
      </c>
      <c r="M291" s="8">
        <v>1013.67</v>
      </c>
      <c r="N291" s="8" t="s">
        <v>17</v>
      </c>
      <c r="O291" s="8" t="s">
        <v>22</v>
      </c>
      <c r="P291" s="9">
        <v>45211</v>
      </c>
      <c r="Q291" s="8" t="s">
        <v>43</v>
      </c>
      <c r="R291" s="10">
        <v>0</v>
      </c>
    </row>
    <row r="292" spans="1:18" x14ac:dyDescent="0.3">
      <c r="A292" s="7" t="s">
        <v>326</v>
      </c>
      <c r="B292" s="8" t="s">
        <v>20</v>
      </c>
      <c r="C292" s="8">
        <v>53</v>
      </c>
      <c r="D292" s="8" t="s">
        <v>31</v>
      </c>
      <c r="E292" s="8" t="s">
        <v>21</v>
      </c>
      <c r="F292" s="8">
        <v>89874</v>
      </c>
      <c r="G292" s="8" t="s">
        <v>15</v>
      </c>
      <c r="H292" s="8">
        <v>553</v>
      </c>
      <c r="I292" s="8" t="s">
        <v>16</v>
      </c>
      <c r="J292" s="8">
        <v>1749586</v>
      </c>
      <c r="K292" s="8">
        <v>10</v>
      </c>
      <c r="L292" s="8">
        <v>13.48</v>
      </c>
      <c r="M292" s="8">
        <v>1965.37</v>
      </c>
      <c r="N292" s="8" t="s">
        <v>42</v>
      </c>
      <c r="O292" s="8" t="s">
        <v>18</v>
      </c>
      <c r="P292" s="9">
        <v>45195</v>
      </c>
      <c r="Q292" s="8" t="s">
        <v>43</v>
      </c>
      <c r="R292" s="10">
        <v>0</v>
      </c>
    </row>
    <row r="293" spans="1:18" x14ac:dyDescent="0.3">
      <c r="A293" s="7" t="s">
        <v>327</v>
      </c>
      <c r="B293" s="8" t="s">
        <v>47</v>
      </c>
      <c r="C293" s="8">
        <v>60</v>
      </c>
      <c r="D293" s="8" t="s">
        <v>31</v>
      </c>
      <c r="E293" s="8" t="s">
        <v>7</v>
      </c>
      <c r="F293" s="8">
        <v>135708</v>
      </c>
      <c r="G293" s="8" t="s">
        <v>25</v>
      </c>
      <c r="H293" s="8">
        <v>394</v>
      </c>
      <c r="I293" s="8" t="s">
        <v>9</v>
      </c>
      <c r="J293" s="8">
        <v>100247</v>
      </c>
      <c r="K293" s="8">
        <v>20</v>
      </c>
      <c r="L293" s="8">
        <v>13.15</v>
      </c>
      <c r="M293" s="8">
        <v>54.93</v>
      </c>
      <c r="N293" s="8" t="s">
        <v>27</v>
      </c>
      <c r="O293" s="8" t="s">
        <v>22</v>
      </c>
      <c r="P293" s="9">
        <v>44639</v>
      </c>
      <c r="Q293" s="8" t="s">
        <v>43</v>
      </c>
      <c r="R293" s="10">
        <v>0</v>
      </c>
    </row>
    <row r="294" spans="1:18" x14ac:dyDescent="0.3">
      <c r="A294" s="7" t="s">
        <v>328</v>
      </c>
      <c r="B294" s="8" t="s">
        <v>45</v>
      </c>
      <c r="C294" s="8">
        <v>32</v>
      </c>
      <c r="D294" s="8" t="s">
        <v>6</v>
      </c>
      <c r="E294" s="8" t="s">
        <v>21</v>
      </c>
      <c r="F294" s="8">
        <v>123455</v>
      </c>
      <c r="G294" s="8" t="s">
        <v>25</v>
      </c>
      <c r="H294" s="8">
        <v>385</v>
      </c>
      <c r="I294" s="8" t="s">
        <v>9</v>
      </c>
      <c r="J294" s="8">
        <v>1977429</v>
      </c>
      <c r="K294" s="8">
        <v>15</v>
      </c>
      <c r="L294" s="8">
        <v>11.9</v>
      </c>
      <c r="M294" s="8">
        <v>1307.3</v>
      </c>
      <c r="N294" s="8" t="s">
        <v>8</v>
      </c>
      <c r="O294" s="8" t="s">
        <v>28</v>
      </c>
      <c r="P294" s="9">
        <v>45426</v>
      </c>
      <c r="Q294" s="8" t="s">
        <v>43</v>
      </c>
      <c r="R294" s="10">
        <v>0</v>
      </c>
    </row>
    <row r="295" spans="1:18" x14ac:dyDescent="0.3">
      <c r="A295" s="7" t="s">
        <v>329</v>
      </c>
      <c r="B295" s="8" t="s">
        <v>47</v>
      </c>
      <c r="C295" s="8">
        <v>30</v>
      </c>
      <c r="D295" s="8" t="s">
        <v>6</v>
      </c>
      <c r="E295" s="8" t="s">
        <v>7</v>
      </c>
      <c r="F295" s="8">
        <v>25844</v>
      </c>
      <c r="G295" s="8" t="s">
        <v>25</v>
      </c>
      <c r="H295" s="8">
        <v>395</v>
      </c>
      <c r="I295" s="8" t="s">
        <v>9</v>
      </c>
      <c r="J295" s="8">
        <v>947448</v>
      </c>
      <c r="K295" s="8">
        <v>20</v>
      </c>
      <c r="L295" s="8">
        <v>13.74</v>
      </c>
      <c r="M295" s="8">
        <v>542.41</v>
      </c>
      <c r="N295" s="8" t="s">
        <v>8</v>
      </c>
      <c r="O295" s="8" t="s">
        <v>22</v>
      </c>
      <c r="P295" s="9">
        <v>44960</v>
      </c>
      <c r="Q295" s="8" t="s">
        <v>12</v>
      </c>
      <c r="R295" s="10">
        <v>0</v>
      </c>
    </row>
    <row r="296" spans="1:18" x14ac:dyDescent="0.3">
      <c r="A296" s="7" t="s">
        <v>330</v>
      </c>
      <c r="B296" s="8" t="s">
        <v>33</v>
      </c>
      <c r="C296" s="8">
        <v>25</v>
      </c>
      <c r="D296" s="8" t="s">
        <v>34</v>
      </c>
      <c r="E296" s="8" t="s">
        <v>21</v>
      </c>
      <c r="F296" s="8">
        <v>110734</v>
      </c>
      <c r="G296" s="8" t="s">
        <v>15</v>
      </c>
      <c r="H296" s="8">
        <v>716</v>
      </c>
      <c r="I296" s="8" t="s">
        <v>40</v>
      </c>
      <c r="J296" s="8">
        <v>918084</v>
      </c>
      <c r="K296" s="8">
        <v>15</v>
      </c>
      <c r="L296" s="8">
        <v>9.7200000000000006</v>
      </c>
      <c r="M296" s="8">
        <v>495.77</v>
      </c>
      <c r="N296" s="8" t="s">
        <v>8</v>
      </c>
      <c r="O296" s="8" t="s">
        <v>28</v>
      </c>
      <c r="P296" s="9">
        <v>45090</v>
      </c>
      <c r="Q296" s="8" t="s">
        <v>29</v>
      </c>
      <c r="R296" s="10">
        <v>1</v>
      </c>
    </row>
    <row r="297" spans="1:18" x14ac:dyDescent="0.3">
      <c r="A297" s="7" t="s">
        <v>331</v>
      </c>
      <c r="B297" s="8" t="s">
        <v>45</v>
      </c>
      <c r="C297" s="8">
        <v>51</v>
      </c>
      <c r="D297" s="8" t="s">
        <v>31</v>
      </c>
      <c r="E297" s="8" t="s">
        <v>21</v>
      </c>
      <c r="F297" s="8">
        <v>84587</v>
      </c>
      <c r="G297" s="8" t="s">
        <v>25</v>
      </c>
      <c r="H297" s="8">
        <v>370</v>
      </c>
      <c r="I297" s="8" t="s">
        <v>9</v>
      </c>
      <c r="J297" s="8">
        <v>997720</v>
      </c>
      <c r="K297" s="8">
        <v>10</v>
      </c>
      <c r="L297" s="8">
        <v>12.99</v>
      </c>
      <c r="M297" s="8">
        <v>1080.03</v>
      </c>
      <c r="N297" s="8" t="s">
        <v>8</v>
      </c>
      <c r="O297" s="8" t="s">
        <v>18</v>
      </c>
      <c r="P297" s="9">
        <v>45074</v>
      </c>
      <c r="Q297" s="8" t="s">
        <v>12</v>
      </c>
      <c r="R297" s="10">
        <v>0</v>
      </c>
    </row>
    <row r="298" spans="1:18" x14ac:dyDescent="0.3">
      <c r="A298" s="7" t="s">
        <v>332</v>
      </c>
      <c r="B298" s="8" t="s">
        <v>39</v>
      </c>
      <c r="C298" s="8">
        <v>28</v>
      </c>
      <c r="D298" s="8" t="s">
        <v>34</v>
      </c>
      <c r="E298" s="8" t="s">
        <v>7</v>
      </c>
      <c r="F298" s="8">
        <v>34352</v>
      </c>
      <c r="G298" s="8" t="s">
        <v>25</v>
      </c>
      <c r="H298" s="8">
        <v>425</v>
      </c>
      <c r="I298" s="8" t="s">
        <v>9</v>
      </c>
      <c r="J298" s="8">
        <v>1895323</v>
      </c>
      <c r="K298" s="8">
        <v>20</v>
      </c>
      <c r="L298" s="8">
        <v>7.89</v>
      </c>
      <c r="M298" s="8">
        <v>623.09</v>
      </c>
      <c r="N298" s="8" t="s">
        <v>27</v>
      </c>
      <c r="O298" s="8" t="s">
        <v>18</v>
      </c>
      <c r="P298" s="9">
        <v>44729</v>
      </c>
      <c r="Q298" s="8" t="s">
        <v>12</v>
      </c>
      <c r="R298" s="10">
        <v>0</v>
      </c>
    </row>
    <row r="299" spans="1:18" x14ac:dyDescent="0.3">
      <c r="A299" s="7" t="s">
        <v>333</v>
      </c>
      <c r="B299" s="8" t="s">
        <v>39</v>
      </c>
      <c r="C299" s="8">
        <v>41</v>
      </c>
      <c r="D299" s="8" t="s">
        <v>6</v>
      </c>
      <c r="E299" s="8" t="s">
        <v>7</v>
      </c>
      <c r="F299" s="8">
        <v>83587</v>
      </c>
      <c r="G299" s="8" t="s">
        <v>25</v>
      </c>
      <c r="H299" s="8">
        <v>311</v>
      </c>
      <c r="I299" s="8" t="s">
        <v>9</v>
      </c>
      <c r="J299" s="8">
        <v>1783099</v>
      </c>
      <c r="K299" s="8">
        <v>10</v>
      </c>
      <c r="L299" s="8">
        <v>12.11</v>
      </c>
      <c r="M299" s="8">
        <v>1799.44</v>
      </c>
      <c r="N299" s="8" t="s">
        <v>8</v>
      </c>
      <c r="O299" s="8" t="s">
        <v>18</v>
      </c>
      <c r="P299" s="9">
        <v>44872</v>
      </c>
      <c r="Q299" s="8" t="s">
        <v>12</v>
      </c>
      <c r="R299" s="10">
        <v>0</v>
      </c>
    </row>
    <row r="300" spans="1:18" x14ac:dyDescent="0.3">
      <c r="A300" s="7" t="s">
        <v>334</v>
      </c>
      <c r="B300" s="8" t="s">
        <v>33</v>
      </c>
      <c r="C300" s="8">
        <v>55</v>
      </c>
      <c r="D300" s="8" t="s">
        <v>31</v>
      </c>
      <c r="E300" s="8" t="s">
        <v>21</v>
      </c>
      <c r="F300" s="8">
        <v>50927</v>
      </c>
      <c r="G300" s="8" t="s">
        <v>8</v>
      </c>
      <c r="H300" s="8">
        <v>405</v>
      </c>
      <c r="I300" s="8" t="s">
        <v>9</v>
      </c>
      <c r="J300" s="8">
        <v>119222</v>
      </c>
      <c r="K300" s="8">
        <v>20</v>
      </c>
      <c r="L300" s="8">
        <v>13.28</v>
      </c>
      <c r="M300" s="8">
        <v>65.97</v>
      </c>
      <c r="N300" s="8" t="s">
        <v>8</v>
      </c>
      <c r="O300" s="8" t="s">
        <v>28</v>
      </c>
      <c r="P300" s="9">
        <v>44711</v>
      </c>
      <c r="Q300" s="8" t="s">
        <v>29</v>
      </c>
      <c r="R300" s="10">
        <v>1</v>
      </c>
    </row>
    <row r="301" spans="1:18" x14ac:dyDescent="0.3">
      <c r="A301" s="7" t="s">
        <v>335</v>
      </c>
      <c r="B301" s="8" t="s">
        <v>39</v>
      </c>
      <c r="C301" s="8">
        <v>35</v>
      </c>
      <c r="D301" s="8" t="s">
        <v>6</v>
      </c>
      <c r="E301" s="8" t="s">
        <v>21</v>
      </c>
      <c r="F301" s="8">
        <v>90849</v>
      </c>
      <c r="G301" s="8" t="s">
        <v>8</v>
      </c>
      <c r="H301" s="8">
        <v>433</v>
      </c>
      <c r="I301" s="8" t="s">
        <v>9</v>
      </c>
      <c r="J301" s="8">
        <v>1608008</v>
      </c>
      <c r="K301" s="8">
        <v>15</v>
      </c>
      <c r="L301" s="8">
        <v>11.61</v>
      </c>
      <c r="M301" s="8">
        <v>1037.17</v>
      </c>
      <c r="N301" s="8" t="s">
        <v>8</v>
      </c>
      <c r="O301" s="8" t="s">
        <v>18</v>
      </c>
      <c r="P301" s="9">
        <v>45059</v>
      </c>
      <c r="Q301" s="8" t="s">
        <v>12</v>
      </c>
      <c r="R301" s="10">
        <v>0</v>
      </c>
    </row>
    <row r="302" spans="1:18" x14ac:dyDescent="0.3">
      <c r="A302" s="7" t="s">
        <v>336</v>
      </c>
      <c r="B302" s="8" t="s">
        <v>47</v>
      </c>
      <c r="C302" s="8">
        <v>49</v>
      </c>
      <c r="D302" s="8" t="s">
        <v>31</v>
      </c>
      <c r="E302" s="8" t="s">
        <v>21</v>
      </c>
      <c r="F302" s="8">
        <v>65819</v>
      </c>
      <c r="G302" s="8" t="s">
        <v>8</v>
      </c>
      <c r="H302" s="8">
        <v>680</v>
      </c>
      <c r="I302" s="8" t="s">
        <v>16</v>
      </c>
      <c r="J302" s="8">
        <v>777623</v>
      </c>
      <c r="K302" s="8">
        <v>15</v>
      </c>
      <c r="L302" s="8">
        <v>10.29</v>
      </c>
      <c r="M302" s="8">
        <v>444.54</v>
      </c>
      <c r="N302" s="8" t="s">
        <v>27</v>
      </c>
      <c r="O302" s="8" t="s">
        <v>11</v>
      </c>
      <c r="P302" s="9">
        <v>45221</v>
      </c>
      <c r="Q302" s="8" t="s">
        <v>43</v>
      </c>
      <c r="R302" s="10">
        <v>0</v>
      </c>
    </row>
    <row r="303" spans="1:18" x14ac:dyDescent="0.3">
      <c r="A303" s="7" t="s">
        <v>337</v>
      </c>
      <c r="B303" s="8" t="s">
        <v>5</v>
      </c>
      <c r="C303" s="8">
        <v>40</v>
      </c>
      <c r="D303" s="8" t="s">
        <v>6</v>
      </c>
      <c r="E303" s="8" t="s">
        <v>7</v>
      </c>
      <c r="F303" s="8">
        <v>110897</v>
      </c>
      <c r="G303" s="8" t="s">
        <v>8</v>
      </c>
      <c r="H303" s="8">
        <v>688</v>
      </c>
      <c r="I303" s="8" t="s">
        <v>16</v>
      </c>
      <c r="J303" s="8">
        <v>127966</v>
      </c>
      <c r="K303" s="8">
        <v>15</v>
      </c>
      <c r="L303" s="8">
        <v>8.08</v>
      </c>
      <c r="M303" s="8">
        <v>57.44</v>
      </c>
      <c r="N303" s="8" t="s">
        <v>42</v>
      </c>
      <c r="O303" s="8" t="s">
        <v>11</v>
      </c>
      <c r="P303" s="9">
        <v>45068</v>
      </c>
      <c r="Q303" s="8" t="s">
        <v>29</v>
      </c>
      <c r="R303" s="10">
        <v>1</v>
      </c>
    </row>
    <row r="304" spans="1:18" x14ac:dyDescent="0.3">
      <c r="A304" s="7" t="s">
        <v>338</v>
      </c>
      <c r="B304" s="8" t="s">
        <v>14</v>
      </c>
      <c r="C304" s="8">
        <v>55</v>
      </c>
      <c r="D304" s="8" t="s">
        <v>31</v>
      </c>
      <c r="E304" s="8" t="s">
        <v>21</v>
      </c>
      <c r="F304" s="8">
        <v>59617</v>
      </c>
      <c r="G304" s="8" t="s">
        <v>15</v>
      </c>
      <c r="H304" s="8">
        <v>641</v>
      </c>
      <c r="I304" s="8" t="s">
        <v>16</v>
      </c>
      <c r="J304" s="8">
        <v>1331370</v>
      </c>
      <c r="K304" s="8">
        <v>5</v>
      </c>
      <c r="L304" s="8">
        <v>12.98</v>
      </c>
      <c r="M304" s="8">
        <v>2880.2</v>
      </c>
      <c r="N304" s="8" t="s">
        <v>27</v>
      </c>
      <c r="O304" s="8" t="s">
        <v>11</v>
      </c>
      <c r="P304" s="9">
        <v>44871</v>
      </c>
      <c r="Q304" s="8" t="s">
        <v>43</v>
      </c>
      <c r="R304" s="10">
        <v>0</v>
      </c>
    </row>
    <row r="305" spans="1:18" x14ac:dyDescent="0.3">
      <c r="A305" s="7" t="s">
        <v>339</v>
      </c>
      <c r="B305" s="8" t="s">
        <v>47</v>
      </c>
      <c r="C305" s="8">
        <v>58</v>
      </c>
      <c r="D305" s="8" t="s">
        <v>31</v>
      </c>
      <c r="E305" s="8" t="s">
        <v>7</v>
      </c>
      <c r="F305" s="8">
        <v>77393</v>
      </c>
      <c r="G305" s="8" t="s">
        <v>15</v>
      </c>
      <c r="H305" s="8">
        <v>848</v>
      </c>
      <c r="I305" s="8" t="s">
        <v>40</v>
      </c>
      <c r="J305" s="8">
        <v>857165</v>
      </c>
      <c r="K305" s="8">
        <v>15</v>
      </c>
      <c r="L305" s="8">
        <v>8.34</v>
      </c>
      <c r="M305" s="8">
        <v>397.15</v>
      </c>
      <c r="N305" s="8" t="s">
        <v>42</v>
      </c>
      <c r="O305" s="8" t="s">
        <v>28</v>
      </c>
      <c r="P305" s="9">
        <v>45453</v>
      </c>
      <c r="Q305" s="8" t="s">
        <v>43</v>
      </c>
      <c r="R305" s="10">
        <v>0</v>
      </c>
    </row>
    <row r="306" spans="1:18" x14ac:dyDescent="0.3">
      <c r="A306" s="7" t="s">
        <v>340</v>
      </c>
      <c r="B306" s="8" t="s">
        <v>39</v>
      </c>
      <c r="C306" s="8">
        <v>57</v>
      </c>
      <c r="D306" s="8" t="s">
        <v>31</v>
      </c>
      <c r="E306" s="8" t="s">
        <v>21</v>
      </c>
      <c r="F306" s="8">
        <v>95882</v>
      </c>
      <c r="G306" s="8" t="s">
        <v>8</v>
      </c>
      <c r="H306" s="8">
        <v>839</v>
      </c>
      <c r="I306" s="8" t="s">
        <v>40</v>
      </c>
      <c r="J306" s="8">
        <v>1325635</v>
      </c>
      <c r="K306" s="8">
        <v>15</v>
      </c>
      <c r="L306" s="8">
        <v>14.3</v>
      </c>
      <c r="M306" s="8">
        <v>1053.1400000000001</v>
      </c>
      <c r="N306" s="8" t="s">
        <v>8</v>
      </c>
      <c r="O306" s="8" t="s">
        <v>18</v>
      </c>
      <c r="P306" s="9">
        <v>44814</v>
      </c>
      <c r="Q306" s="8" t="s">
        <v>12</v>
      </c>
      <c r="R306" s="10">
        <v>0</v>
      </c>
    </row>
    <row r="307" spans="1:18" x14ac:dyDescent="0.3">
      <c r="A307" s="7" t="s">
        <v>341</v>
      </c>
      <c r="B307" s="8" t="s">
        <v>14</v>
      </c>
      <c r="C307" s="8">
        <v>39</v>
      </c>
      <c r="D307" s="8" t="s">
        <v>6</v>
      </c>
      <c r="E307" s="8" t="s">
        <v>7</v>
      </c>
      <c r="F307" s="8">
        <v>37939</v>
      </c>
      <c r="G307" s="8" t="s">
        <v>15</v>
      </c>
      <c r="H307" s="8">
        <v>724</v>
      </c>
      <c r="I307" s="8" t="s">
        <v>40</v>
      </c>
      <c r="J307" s="8">
        <v>933289</v>
      </c>
      <c r="K307" s="8">
        <v>5</v>
      </c>
      <c r="L307" s="8">
        <v>14.79</v>
      </c>
      <c r="M307" s="8">
        <v>2300.56</v>
      </c>
      <c r="N307" s="8" t="s">
        <v>42</v>
      </c>
      <c r="O307" s="8" t="s">
        <v>28</v>
      </c>
      <c r="P307" s="9">
        <v>44883</v>
      </c>
      <c r="Q307" s="8" t="s">
        <v>12</v>
      </c>
      <c r="R307" s="10">
        <v>0</v>
      </c>
    </row>
    <row r="308" spans="1:18" x14ac:dyDescent="0.3">
      <c r="A308" s="7" t="s">
        <v>342</v>
      </c>
      <c r="B308" s="8" t="s">
        <v>36</v>
      </c>
      <c r="C308" s="8">
        <v>51</v>
      </c>
      <c r="D308" s="8" t="s">
        <v>31</v>
      </c>
      <c r="E308" s="8" t="s">
        <v>7</v>
      </c>
      <c r="F308" s="8">
        <v>57267</v>
      </c>
      <c r="G308" s="8" t="s">
        <v>8</v>
      </c>
      <c r="H308" s="8">
        <v>362</v>
      </c>
      <c r="I308" s="8" t="s">
        <v>9</v>
      </c>
      <c r="J308" s="8">
        <v>875032</v>
      </c>
      <c r="K308" s="8">
        <v>20</v>
      </c>
      <c r="L308" s="8">
        <v>11.47</v>
      </c>
      <c r="M308" s="8">
        <v>418.19</v>
      </c>
      <c r="N308" s="8" t="s">
        <v>27</v>
      </c>
      <c r="O308" s="8" t="s">
        <v>28</v>
      </c>
      <c r="P308" s="9">
        <v>44801</v>
      </c>
      <c r="Q308" s="8" t="s">
        <v>29</v>
      </c>
      <c r="R308" s="10">
        <v>1</v>
      </c>
    </row>
    <row r="309" spans="1:18" x14ac:dyDescent="0.3">
      <c r="A309" s="7" t="s">
        <v>343</v>
      </c>
      <c r="B309" s="8" t="s">
        <v>45</v>
      </c>
      <c r="C309" s="8">
        <v>29</v>
      </c>
      <c r="D309" s="8" t="s">
        <v>34</v>
      </c>
      <c r="E309" s="8" t="s">
        <v>21</v>
      </c>
      <c r="F309" s="8">
        <v>71088</v>
      </c>
      <c r="G309" s="8" t="s">
        <v>8</v>
      </c>
      <c r="H309" s="8">
        <v>606</v>
      </c>
      <c r="I309" s="8" t="s">
        <v>16</v>
      </c>
      <c r="J309" s="8">
        <v>1771280</v>
      </c>
      <c r="K309" s="8">
        <v>15</v>
      </c>
      <c r="L309" s="8">
        <v>14.11</v>
      </c>
      <c r="M309" s="8">
        <v>1388.49</v>
      </c>
      <c r="N309" s="8" t="s">
        <v>10</v>
      </c>
      <c r="O309" s="8" t="s">
        <v>11</v>
      </c>
      <c r="P309" s="9">
        <v>44647</v>
      </c>
      <c r="Q309" s="8" t="s">
        <v>12</v>
      </c>
      <c r="R309" s="10">
        <v>0</v>
      </c>
    </row>
    <row r="310" spans="1:18" x14ac:dyDescent="0.3">
      <c r="A310" s="7" t="s">
        <v>344</v>
      </c>
      <c r="B310" s="8" t="s">
        <v>5</v>
      </c>
      <c r="C310" s="8">
        <v>54</v>
      </c>
      <c r="D310" s="8" t="s">
        <v>31</v>
      </c>
      <c r="E310" s="8" t="s">
        <v>7</v>
      </c>
      <c r="F310" s="8">
        <v>65144</v>
      </c>
      <c r="G310" s="8" t="s">
        <v>8</v>
      </c>
      <c r="H310" s="8">
        <v>630</v>
      </c>
      <c r="I310" s="8" t="s">
        <v>16</v>
      </c>
      <c r="J310" s="8">
        <v>1305541</v>
      </c>
      <c r="K310" s="8">
        <v>10</v>
      </c>
      <c r="L310" s="8">
        <v>7.66</v>
      </c>
      <c r="M310" s="8">
        <v>833.37</v>
      </c>
      <c r="N310" s="8" t="s">
        <v>42</v>
      </c>
      <c r="O310" s="8" t="s">
        <v>11</v>
      </c>
      <c r="P310" s="9">
        <v>45328</v>
      </c>
      <c r="Q310" s="8" t="s">
        <v>29</v>
      </c>
      <c r="R310" s="10">
        <v>1</v>
      </c>
    </row>
    <row r="311" spans="1:18" x14ac:dyDescent="0.3">
      <c r="A311" s="7" t="s">
        <v>345</v>
      </c>
      <c r="B311" s="8" t="s">
        <v>5</v>
      </c>
      <c r="C311" s="8">
        <v>55</v>
      </c>
      <c r="D311" s="8" t="s">
        <v>31</v>
      </c>
      <c r="E311" s="8" t="s">
        <v>7</v>
      </c>
      <c r="F311" s="8">
        <v>95581</v>
      </c>
      <c r="G311" s="8" t="s">
        <v>25</v>
      </c>
      <c r="H311" s="8">
        <v>688</v>
      </c>
      <c r="I311" s="8" t="s">
        <v>16</v>
      </c>
      <c r="J311" s="8">
        <v>1120994</v>
      </c>
      <c r="K311" s="8">
        <v>15</v>
      </c>
      <c r="L311" s="8">
        <v>9.1</v>
      </c>
      <c r="M311" s="8">
        <v>566.72</v>
      </c>
      <c r="N311" s="8" t="s">
        <v>8</v>
      </c>
      <c r="O311" s="8" t="s">
        <v>28</v>
      </c>
      <c r="P311" s="9">
        <v>44743</v>
      </c>
      <c r="Q311" s="8" t="s">
        <v>12</v>
      </c>
      <c r="R311" s="10">
        <v>0</v>
      </c>
    </row>
    <row r="312" spans="1:18" x14ac:dyDescent="0.3">
      <c r="A312" s="7" t="s">
        <v>346</v>
      </c>
      <c r="B312" s="8" t="s">
        <v>45</v>
      </c>
      <c r="C312" s="8">
        <v>30</v>
      </c>
      <c r="D312" s="8" t="s">
        <v>6</v>
      </c>
      <c r="E312" s="8" t="s">
        <v>7</v>
      </c>
      <c r="F312" s="8">
        <v>93955</v>
      </c>
      <c r="G312" s="8" t="s">
        <v>15</v>
      </c>
      <c r="H312" s="8">
        <v>459</v>
      </c>
      <c r="I312" s="8" t="s">
        <v>9</v>
      </c>
      <c r="J312" s="8">
        <v>1275798</v>
      </c>
      <c r="K312" s="8">
        <v>5</v>
      </c>
      <c r="L312" s="8">
        <v>13.44</v>
      </c>
      <c r="M312" s="8">
        <v>2857.79</v>
      </c>
      <c r="N312" s="8" t="s">
        <v>27</v>
      </c>
      <c r="O312" s="8" t="s">
        <v>11</v>
      </c>
      <c r="P312" s="9">
        <v>45367</v>
      </c>
      <c r="Q312" s="8" t="s">
        <v>43</v>
      </c>
      <c r="R312" s="10">
        <v>0</v>
      </c>
    </row>
    <row r="313" spans="1:18" x14ac:dyDescent="0.3">
      <c r="A313" s="7" t="s">
        <v>347</v>
      </c>
      <c r="B313" s="8" t="s">
        <v>36</v>
      </c>
      <c r="C313" s="8">
        <v>46</v>
      </c>
      <c r="D313" s="8" t="s">
        <v>31</v>
      </c>
      <c r="E313" s="8" t="s">
        <v>7</v>
      </c>
      <c r="F313" s="8">
        <v>79555</v>
      </c>
      <c r="G313" s="8" t="s">
        <v>25</v>
      </c>
      <c r="H313" s="8">
        <v>761</v>
      </c>
      <c r="I313" s="8" t="s">
        <v>40</v>
      </c>
      <c r="J313" s="8">
        <v>1011334</v>
      </c>
      <c r="K313" s="8">
        <v>5</v>
      </c>
      <c r="L313" s="8">
        <v>8.9600000000000009</v>
      </c>
      <c r="M313" s="8">
        <v>1510.26</v>
      </c>
      <c r="N313" s="8" t="s">
        <v>17</v>
      </c>
      <c r="O313" s="8" t="s">
        <v>28</v>
      </c>
      <c r="P313" s="9">
        <v>44798</v>
      </c>
      <c r="Q313" s="8" t="s">
        <v>12</v>
      </c>
      <c r="R313" s="10">
        <v>0</v>
      </c>
    </row>
    <row r="314" spans="1:18" x14ac:dyDescent="0.3">
      <c r="A314" s="7" t="s">
        <v>348</v>
      </c>
      <c r="B314" s="8" t="s">
        <v>33</v>
      </c>
      <c r="C314" s="8">
        <v>64</v>
      </c>
      <c r="D314" s="8" t="s">
        <v>31</v>
      </c>
      <c r="E314" s="8" t="s">
        <v>7</v>
      </c>
      <c r="F314" s="8">
        <v>136843</v>
      </c>
      <c r="G314" s="8" t="s">
        <v>25</v>
      </c>
      <c r="H314" s="8">
        <v>734</v>
      </c>
      <c r="I314" s="8" t="s">
        <v>40</v>
      </c>
      <c r="J314" s="8">
        <v>960628</v>
      </c>
      <c r="K314" s="8">
        <v>20</v>
      </c>
      <c r="L314" s="8">
        <v>14.5</v>
      </c>
      <c r="M314" s="8">
        <v>580.38</v>
      </c>
      <c r="N314" s="8" t="s">
        <v>8</v>
      </c>
      <c r="O314" s="8" t="s">
        <v>28</v>
      </c>
      <c r="P314" s="9">
        <v>45400</v>
      </c>
      <c r="Q314" s="8" t="s">
        <v>12</v>
      </c>
      <c r="R314" s="10">
        <v>0</v>
      </c>
    </row>
    <row r="315" spans="1:18" x14ac:dyDescent="0.3">
      <c r="A315" s="7" t="s">
        <v>349</v>
      </c>
      <c r="B315" s="8" t="s">
        <v>52</v>
      </c>
      <c r="C315" s="8">
        <v>37</v>
      </c>
      <c r="D315" s="8" t="s">
        <v>6</v>
      </c>
      <c r="E315" s="8" t="s">
        <v>7</v>
      </c>
      <c r="F315" s="8">
        <v>124548</v>
      </c>
      <c r="G315" s="8" t="s">
        <v>25</v>
      </c>
      <c r="H315" s="8">
        <v>600</v>
      </c>
      <c r="I315" s="8" t="s">
        <v>16</v>
      </c>
      <c r="J315" s="8">
        <v>264797</v>
      </c>
      <c r="K315" s="8">
        <v>5</v>
      </c>
      <c r="L315" s="8">
        <v>8.0399999999999991</v>
      </c>
      <c r="M315" s="8">
        <v>354.83</v>
      </c>
      <c r="N315" s="8" t="s">
        <v>42</v>
      </c>
      <c r="O315" s="8" t="s">
        <v>28</v>
      </c>
      <c r="P315" s="9">
        <v>44753</v>
      </c>
      <c r="Q315" s="8" t="s">
        <v>12</v>
      </c>
      <c r="R315" s="10">
        <v>0</v>
      </c>
    </row>
    <row r="316" spans="1:18" x14ac:dyDescent="0.3">
      <c r="A316" s="7" t="s">
        <v>350</v>
      </c>
      <c r="B316" s="8" t="s">
        <v>47</v>
      </c>
      <c r="C316" s="8">
        <v>42</v>
      </c>
      <c r="D316" s="8" t="s">
        <v>6</v>
      </c>
      <c r="E316" s="8" t="s">
        <v>7</v>
      </c>
      <c r="F316" s="8">
        <v>144296</v>
      </c>
      <c r="G316" s="8" t="s">
        <v>8</v>
      </c>
      <c r="H316" s="8">
        <v>666</v>
      </c>
      <c r="I316" s="8" t="s">
        <v>16</v>
      </c>
      <c r="J316" s="8">
        <v>1968233</v>
      </c>
      <c r="K316" s="8">
        <v>10</v>
      </c>
      <c r="L316" s="8">
        <v>11.37</v>
      </c>
      <c r="M316" s="8">
        <v>1864.9</v>
      </c>
      <c r="N316" s="8" t="s">
        <v>42</v>
      </c>
      <c r="O316" s="8" t="s">
        <v>22</v>
      </c>
      <c r="P316" s="9">
        <v>44798</v>
      </c>
      <c r="Q316" s="8" t="s">
        <v>12</v>
      </c>
      <c r="R316" s="10">
        <v>0</v>
      </c>
    </row>
    <row r="317" spans="1:18" x14ac:dyDescent="0.3">
      <c r="A317" s="7" t="s">
        <v>351</v>
      </c>
      <c r="B317" s="8" t="s">
        <v>24</v>
      </c>
      <c r="C317" s="8">
        <v>42</v>
      </c>
      <c r="D317" s="8" t="s">
        <v>6</v>
      </c>
      <c r="E317" s="8" t="s">
        <v>21</v>
      </c>
      <c r="F317" s="8">
        <v>24570</v>
      </c>
      <c r="G317" s="8" t="s">
        <v>25</v>
      </c>
      <c r="H317" s="8">
        <v>593</v>
      </c>
      <c r="I317" s="8" t="s">
        <v>16</v>
      </c>
      <c r="J317" s="8">
        <v>1935928</v>
      </c>
      <c r="K317" s="8">
        <v>15</v>
      </c>
      <c r="L317" s="8">
        <v>8.7100000000000009</v>
      </c>
      <c r="M317" s="8">
        <v>936.77</v>
      </c>
      <c r="N317" s="8" t="s">
        <v>27</v>
      </c>
      <c r="O317" s="8" t="s">
        <v>18</v>
      </c>
      <c r="P317" s="9">
        <v>45273</v>
      </c>
      <c r="Q317" s="8" t="s">
        <v>43</v>
      </c>
      <c r="R317" s="10">
        <v>0</v>
      </c>
    </row>
    <row r="318" spans="1:18" x14ac:dyDescent="0.3">
      <c r="A318" s="7" t="s">
        <v>352</v>
      </c>
      <c r="B318" s="8" t="s">
        <v>36</v>
      </c>
      <c r="C318" s="8">
        <v>60</v>
      </c>
      <c r="D318" s="8" t="s">
        <v>31</v>
      </c>
      <c r="E318" s="8" t="s">
        <v>7</v>
      </c>
      <c r="F318" s="8">
        <v>75094</v>
      </c>
      <c r="G318" s="8" t="s">
        <v>8</v>
      </c>
      <c r="H318" s="8">
        <v>510</v>
      </c>
      <c r="I318" s="8" t="s">
        <v>9</v>
      </c>
      <c r="J318" s="8">
        <v>1030653</v>
      </c>
      <c r="K318" s="8">
        <v>10</v>
      </c>
      <c r="L318" s="8">
        <v>14.66</v>
      </c>
      <c r="M318" s="8">
        <v>1259.1099999999999</v>
      </c>
      <c r="N318" s="8" t="s">
        <v>42</v>
      </c>
      <c r="O318" s="8" t="s">
        <v>28</v>
      </c>
      <c r="P318" s="9">
        <v>44968</v>
      </c>
      <c r="Q318" s="8" t="s">
        <v>29</v>
      </c>
      <c r="R318" s="10">
        <v>1</v>
      </c>
    </row>
    <row r="319" spans="1:18" x14ac:dyDescent="0.3">
      <c r="A319" s="7" t="s">
        <v>353</v>
      </c>
      <c r="B319" s="8" t="s">
        <v>39</v>
      </c>
      <c r="C319" s="8">
        <v>33</v>
      </c>
      <c r="D319" s="8" t="s">
        <v>6</v>
      </c>
      <c r="E319" s="8" t="s">
        <v>7</v>
      </c>
      <c r="F319" s="8">
        <v>120738</v>
      </c>
      <c r="G319" s="8" t="s">
        <v>25</v>
      </c>
      <c r="H319" s="8">
        <v>560</v>
      </c>
      <c r="I319" s="8" t="s">
        <v>16</v>
      </c>
      <c r="J319" s="8">
        <v>1880570</v>
      </c>
      <c r="K319" s="8">
        <v>15</v>
      </c>
      <c r="L319" s="8">
        <v>13.49</v>
      </c>
      <c r="M319" s="8">
        <v>1409.38</v>
      </c>
      <c r="N319" s="8" t="s">
        <v>8</v>
      </c>
      <c r="O319" s="8" t="s">
        <v>11</v>
      </c>
      <c r="P319" s="9">
        <v>45305</v>
      </c>
      <c r="Q319" s="8" t="s">
        <v>12</v>
      </c>
      <c r="R319" s="10">
        <v>0</v>
      </c>
    </row>
    <row r="320" spans="1:18" x14ac:dyDescent="0.3">
      <c r="A320" s="7" t="s">
        <v>354</v>
      </c>
      <c r="B320" s="8" t="s">
        <v>5</v>
      </c>
      <c r="C320" s="8">
        <v>39</v>
      </c>
      <c r="D320" s="8" t="s">
        <v>6</v>
      </c>
      <c r="E320" s="8" t="s">
        <v>21</v>
      </c>
      <c r="F320" s="8">
        <v>51570</v>
      </c>
      <c r="G320" s="8" t="s">
        <v>25</v>
      </c>
      <c r="H320" s="8">
        <v>673</v>
      </c>
      <c r="I320" s="8" t="s">
        <v>16</v>
      </c>
      <c r="J320" s="8">
        <v>475385</v>
      </c>
      <c r="K320" s="8">
        <v>15</v>
      </c>
      <c r="L320" s="8">
        <v>14.45</v>
      </c>
      <c r="M320" s="8">
        <v>381.63</v>
      </c>
      <c r="N320" s="8" t="s">
        <v>17</v>
      </c>
      <c r="O320" s="8" t="s">
        <v>28</v>
      </c>
      <c r="P320" s="9">
        <v>45036</v>
      </c>
      <c r="Q320" s="8" t="s">
        <v>12</v>
      </c>
      <c r="R320" s="10">
        <v>0</v>
      </c>
    </row>
    <row r="321" spans="1:18" x14ac:dyDescent="0.3">
      <c r="A321" s="7" t="s">
        <v>355</v>
      </c>
      <c r="B321" s="8" t="s">
        <v>14</v>
      </c>
      <c r="C321" s="8">
        <v>60</v>
      </c>
      <c r="D321" s="8" t="s">
        <v>31</v>
      </c>
      <c r="E321" s="8" t="s">
        <v>7</v>
      </c>
      <c r="F321" s="8">
        <v>100085</v>
      </c>
      <c r="G321" s="8" t="s">
        <v>8</v>
      </c>
      <c r="H321" s="8">
        <v>511</v>
      </c>
      <c r="I321" s="8" t="s">
        <v>9</v>
      </c>
      <c r="J321" s="8">
        <v>441522</v>
      </c>
      <c r="K321" s="8">
        <v>15</v>
      </c>
      <c r="L321" s="8">
        <v>7.81</v>
      </c>
      <c r="M321" s="8">
        <v>191.57</v>
      </c>
      <c r="N321" s="8" t="s">
        <v>27</v>
      </c>
      <c r="O321" s="8" t="s">
        <v>11</v>
      </c>
      <c r="P321" s="9">
        <v>44669</v>
      </c>
      <c r="Q321" s="8" t="s">
        <v>12</v>
      </c>
      <c r="R321" s="10">
        <v>0</v>
      </c>
    </row>
    <row r="322" spans="1:18" x14ac:dyDescent="0.3">
      <c r="A322" s="7" t="s">
        <v>356</v>
      </c>
      <c r="B322" s="8" t="s">
        <v>45</v>
      </c>
      <c r="C322" s="8">
        <v>56</v>
      </c>
      <c r="D322" s="8" t="s">
        <v>31</v>
      </c>
      <c r="E322" s="8" t="s">
        <v>7</v>
      </c>
      <c r="F322" s="8">
        <v>147387</v>
      </c>
      <c r="G322" s="8" t="s">
        <v>25</v>
      </c>
      <c r="H322" s="8">
        <v>506</v>
      </c>
      <c r="I322" s="8" t="s">
        <v>9</v>
      </c>
      <c r="J322" s="8">
        <v>1186756</v>
      </c>
      <c r="K322" s="8">
        <v>5</v>
      </c>
      <c r="L322" s="8">
        <v>12.89</v>
      </c>
      <c r="M322" s="8">
        <v>2549.5500000000002</v>
      </c>
      <c r="N322" s="8" t="s">
        <v>42</v>
      </c>
      <c r="O322" s="8" t="s">
        <v>28</v>
      </c>
      <c r="P322" s="9">
        <v>45392</v>
      </c>
      <c r="Q322" s="8" t="s">
        <v>12</v>
      </c>
      <c r="R322" s="10">
        <v>0</v>
      </c>
    </row>
    <row r="323" spans="1:18" x14ac:dyDescent="0.3">
      <c r="A323" s="7" t="s">
        <v>357</v>
      </c>
      <c r="B323" s="8" t="s">
        <v>47</v>
      </c>
      <c r="C323" s="8">
        <v>39</v>
      </c>
      <c r="D323" s="8" t="s">
        <v>6</v>
      </c>
      <c r="E323" s="8" t="s">
        <v>7</v>
      </c>
      <c r="F323" s="8">
        <v>49608</v>
      </c>
      <c r="G323" s="8" t="s">
        <v>25</v>
      </c>
      <c r="H323" s="8">
        <v>793</v>
      </c>
      <c r="I323" s="8" t="s">
        <v>40</v>
      </c>
      <c r="J323" s="8">
        <v>112760</v>
      </c>
      <c r="K323" s="8">
        <v>10</v>
      </c>
      <c r="L323" s="8">
        <v>9.15</v>
      </c>
      <c r="M323" s="8">
        <v>85.98</v>
      </c>
      <c r="N323" s="8" t="s">
        <v>10</v>
      </c>
      <c r="O323" s="8" t="s">
        <v>28</v>
      </c>
      <c r="P323" s="9">
        <v>45126</v>
      </c>
      <c r="Q323" s="8" t="s">
        <v>43</v>
      </c>
      <c r="R323" s="10">
        <v>0</v>
      </c>
    </row>
    <row r="324" spans="1:18" x14ac:dyDescent="0.3">
      <c r="A324" s="7" t="s">
        <v>358</v>
      </c>
      <c r="B324" s="8" t="s">
        <v>45</v>
      </c>
      <c r="C324" s="8">
        <v>48</v>
      </c>
      <c r="D324" s="8" t="s">
        <v>31</v>
      </c>
      <c r="E324" s="8" t="s">
        <v>7</v>
      </c>
      <c r="F324" s="8">
        <v>67569</v>
      </c>
      <c r="G324" s="8" t="s">
        <v>15</v>
      </c>
      <c r="H324" s="8">
        <v>623</v>
      </c>
      <c r="I324" s="8" t="s">
        <v>16</v>
      </c>
      <c r="J324" s="8">
        <v>1038005</v>
      </c>
      <c r="K324" s="8">
        <v>5</v>
      </c>
      <c r="L324" s="8">
        <v>12.44</v>
      </c>
      <c r="M324" s="8">
        <v>2152.13</v>
      </c>
      <c r="N324" s="8" t="s">
        <v>10</v>
      </c>
      <c r="O324" s="8" t="s">
        <v>11</v>
      </c>
      <c r="P324" s="9">
        <v>44795</v>
      </c>
      <c r="Q324" s="8" t="s">
        <v>43</v>
      </c>
      <c r="R324" s="10">
        <v>0</v>
      </c>
    </row>
    <row r="325" spans="1:18" x14ac:dyDescent="0.3">
      <c r="A325" s="7" t="s">
        <v>359</v>
      </c>
      <c r="B325" s="8" t="s">
        <v>52</v>
      </c>
      <c r="C325" s="8">
        <v>33</v>
      </c>
      <c r="D325" s="8" t="s">
        <v>6</v>
      </c>
      <c r="E325" s="8" t="s">
        <v>7</v>
      </c>
      <c r="F325" s="8">
        <v>62602</v>
      </c>
      <c r="G325" s="8" t="s">
        <v>15</v>
      </c>
      <c r="H325" s="8">
        <v>658</v>
      </c>
      <c r="I325" s="8" t="s">
        <v>16</v>
      </c>
      <c r="J325" s="8">
        <v>183681</v>
      </c>
      <c r="K325" s="8">
        <v>20</v>
      </c>
      <c r="L325" s="8">
        <v>11.68</v>
      </c>
      <c r="M325" s="8">
        <v>89.39</v>
      </c>
      <c r="N325" s="8" t="s">
        <v>10</v>
      </c>
      <c r="O325" s="8" t="s">
        <v>28</v>
      </c>
      <c r="P325" s="9">
        <v>44698</v>
      </c>
      <c r="Q325" s="8" t="s">
        <v>12</v>
      </c>
      <c r="R325" s="10">
        <v>0</v>
      </c>
    </row>
    <row r="326" spans="1:18" x14ac:dyDescent="0.3">
      <c r="A326" s="7" t="s">
        <v>360</v>
      </c>
      <c r="B326" s="8" t="s">
        <v>14</v>
      </c>
      <c r="C326" s="8">
        <v>21</v>
      </c>
      <c r="D326" s="8" t="s">
        <v>34</v>
      </c>
      <c r="E326" s="8" t="s">
        <v>21</v>
      </c>
      <c r="F326" s="8">
        <v>42994</v>
      </c>
      <c r="G326" s="8" t="s">
        <v>8</v>
      </c>
      <c r="H326" s="8">
        <v>695</v>
      </c>
      <c r="I326" s="8" t="s">
        <v>16</v>
      </c>
      <c r="J326" s="8">
        <v>1121779</v>
      </c>
      <c r="K326" s="8">
        <v>10</v>
      </c>
      <c r="L326" s="8">
        <v>12.91</v>
      </c>
      <c r="M326" s="8">
        <v>1206.8499999999999</v>
      </c>
      <c r="N326" s="8" t="s">
        <v>42</v>
      </c>
      <c r="O326" s="8" t="s">
        <v>22</v>
      </c>
      <c r="P326" s="9">
        <v>44748</v>
      </c>
      <c r="Q326" s="8" t="s">
        <v>43</v>
      </c>
      <c r="R326" s="10">
        <v>0</v>
      </c>
    </row>
    <row r="327" spans="1:18" x14ac:dyDescent="0.3">
      <c r="A327" s="7" t="s">
        <v>361</v>
      </c>
      <c r="B327" s="8" t="s">
        <v>36</v>
      </c>
      <c r="C327" s="8">
        <v>21</v>
      </c>
      <c r="D327" s="8" t="s">
        <v>34</v>
      </c>
      <c r="E327" s="8" t="s">
        <v>21</v>
      </c>
      <c r="F327" s="8">
        <v>79002</v>
      </c>
      <c r="G327" s="8" t="s">
        <v>25</v>
      </c>
      <c r="H327" s="8">
        <v>838</v>
      </c>
      <c r="I327" s="8" t="s">
        <v>40</v>
      </c>
      <c r="J327" s="8">
        <v>704867</v>
      </c>
      <c r="K327" s="8">
        <v>5</v>
      </c>
      <c r="L327" s="8">
        <v>12.27</v>
      </c>
      <c r="M327" s="8">
        <v>1441.45</v>
      </c>
      <c r="N327" s="8" t="s">
        <v>42</v>
      </c>
      <c r="O327" s="8" t="s">
        <v>11</v>
      </c>
      <c r="P327" s="9">
        <v>45285</v>
      </c>
      <c r="Q327" s="8" t="s">
        <v>12</v>
      </c>
      <c r="R327" s="10">
        <v>0</v>
      </c>
    </row>
    <row r="328" spans="1:18" x14ac:dyDescent="0.3">
      <c r="A328" s="7" t="s">
        <v>362</v>
      </c>
      <c r="B328" s="8" t="s">
        <v>14</v>
      </c>
      <c r="C328" s="8">
        <v>51</v>
      </c>
      <c r="D328" s="8" t="s">
        <v>31</v>
      </c>
      <c r="E328" s="8" t="s">
        <v>21</v>
      </c>
      <c r="F328" s="8">
        <v>69309</v>
      </c>
      <c r="G328" s="8" t="s">
        <v>8</v>
      </c>
      <c r="H328" s="8">
        <v>760</v>
      </c>
      <c r="I328" s="8" t="s">
        <v>40</v>
      </c>
      <c r="J328" s="8">
        <v>870824</v>
      </c>
      <c r="K328" s="8">
        <v>10</v>
      </c>
      <c r="L328" s="8">
        <v>10.85</v>
      </c>
      <c r="M328" s="8">
        <v>787.37</v>
      </c>
      <c r="N328" s="8" t="s">
        <v>17</v>
      </c>
      <c r="O328" s="8" t="s">
        <v>28</v>
      </c>
      <c r="P328" s="9">
        <v>45458</v>
      </c>
      <c r="Q328" s="8" t="s">
        <v>12</v>
      </c>
      <c r="R328" s="10">
        <v>0</v>
      </c>
    </row>
    <row r="329" spans="1:18" x14ac:dyDescent="0.3">
      <c r="A329" s="7" t="s">
        <v>363</v>
      </c>
      <c r="B329" s="8" t="s">
        <v>33</v>
      </c>
      <c r="C329" s="8">
        <v>43</v>
      </c>
      <c r="D329" s="8" t="s">
        <v>6</v>
      </c>
      <c r="E329" s="8" t="s">
        <v>7</v>
      </c>
      <c r="F329" s="8">
        <v>87862</v>
      </c>
      <c r="G329" s="8" t="s">
        <v>25</v>
      </c>
      <c r="H329" s="8">
        <v>436</v>
      </c>
      <c r="I329" s="8" t="s">
        <v>9</v>
      </c>
      <c r="J329" s="8">
        <v>1215112</v>
      </c>
      <c r="K329" s="8">
        <v>20</v>
      </c>
      <c r="L329" s="8">
        <v>9.48</v>
      </c>
      <c r="M329" s="8">
        <v>479.97</v>
      </c>
      <c r="N329" s="8" t="s">
        <v>42</v>
      </c>
      <c r="O329" s="8" t="s">
        <v>28</v>
      </c>
      <c r="P329" s="9">
        <v>44615</v>
      </c>
      <c r="Q329" s="8" t="s">
        <v>29</v>
      </c>
      <c r="R329" s="10">
        <v>1</v>
      </c>
    </row>
    <row r="330" spans="1:18" x14ac:dyDescent="0.3">
      <c r="A330" s="7" t="s">
        <v>364</v>
      </c>
      <c r="B330" s="8" t="s">
        <v>33</v>
      </c>
      <c r="C330" s="8">
        <v>59</v>
      </c>
      <c r="D330" s="8" t="s">
        <v>31</v>
      </c>
      <c r="E330" s="8" t="s">
        <v>21</v>
      </c>
      <c r="F330" s="8">
        <v>75083</v>
      </c>
      <c r="G330" s="8" t="s">
        <v>15</v>
      </c>
      <c r="H330" s="8">
        <v>744</v>
      </c>
      <c r="I330" s="8" t="s">
        <v>40</v>
      </c>
      <c r="J330" s="8">
        <v>909490</v>
      </c>
      <c r="K330" s="8">
        <v>10</v>
      </c>
      <c r="L330" s="8">
        <v>14.03</v>
      </c>
      <c r="M330" s="8">
        <v>1063.3499999999999</v>
      </c>
      <c r="N330" s="8" t="s">
        <v>27</v>
      </c>
      <c r="O330" s="8" t="s">
        <v>28</v>
      </c>
      <c r="P330" s="9">
        <v>45238</v>
      </c>
      <c r="Q330" s="8" t="s">
        <v>29</v>
      </c>
      <c r="R330" s="10">
        <v>1</v>
      </c>
    </row>
    <row r="331" spans="1:18" x14ac:dyDescent="0.3">
      <c r="A331" s="7" t="s">
        <v>365</v>
      </c>
      <c r="B331" s="8" t="s">
        <v>52</v>
      </c>
      <c r="C331" s="8">
        <v>57</v>
      </c>
      <c r="D331" s="8" t="s">
        <v>31</v>
      </c>
      <c r="E331" s="8" t="s">
        <v>7</v>
      </c>
      <c r="F331" s="8">
        <v>85790</v>
      </c>
      <c r="G331" s="8" t="s">
        <v>8</v>
      </c>
      <c r="H331" s="8">
        <v>531</v>
      </c>
      <c r="I331" s="8" t="s">
        <v>9</v>
      </c>
      <c r="J331" s="8">
        <v>797815</v>
      </c>
      <c r="K331" s="8">
        <v>10</v>
      </c>
      <c r="L331" s="8">
        <v>11.19</v>
      </c>
      <c r="M331" s="8">
        <v>743.96</v>
      </c>
      <c r="N331" s="8" t="s">
        <v>10</v>
      </c>
      <c r="O331" s="8" t="s">
        <v>28</v>
      </c>
      <c r="P331" s="9">
        <v>44956</v>
      </c>
      <c r="Q331" s="8" t="s">
        <v>12</v>
      </c>
      <c r="R331" s="10">
        <v>0</v>
      </c>
    </row>
    <row r="332" spans="1:18" x14ac:dyDescent="0.3">
      <c r="A332" s="7" t="s">
        <v>366</v>
      </c>
      <c r="B332" s="8" t="s">
        <v>47</v>
      </c>
      <c r="C332" s="8">
        <v>54</v>
      </c>
      <c r="D332" s="8" t="s">
        <v>31</v>
      </c>
      <c r="E332" s="8" t="s">
        <v>21</v>
      </c>
      <c r="F332" s="8">
        <v>41251</v>
      </c>
      <c r="G332" s="8" t="s">
        <v>25</v>
      </c>
      <c r="H332" s="8">
        <v>644</v>
      </c>
      <c r="I332" s="8" t="s">
        <v>16</v>
      </c>
      <c r="J332" s="8">
        <v>1060021</v>
      </c>
      <c r="K332" s="8">
        <v>20</v>
      </c>
      <c r="L332" s="8">
        <v>10.32</v>
      </c>
      <c r="M332" s="8">
        <v>455.81</v>
      </c>
      <c r="N332" s="8" t="s">
        <v>10</v>
      </c>
      <c r="O332" s="8" t="s">
        <v>18</v>
      </c>
      <c r="P332" s="9">
        <v>45303</v>
      </c>
      <c r="Q332" s="8" t="s">
        <v>12</v>
      </c>
      <c r="R332" s="10">
        <v>0</v>
      </c>
    </row>
    <row r="333" spans="1:18" x14ac:dyDescent="0.3">
      <c r="A333" s="7" t="s">
        <v>367</v>
      </c>
      <c r="B333" s="8" t="s">
        <v>52</v>
      </c>
      <c r="C333" s="8">
        <v>62</v>
      </c>
      <c r="D333" s="8" t="s">
        <v>31</v>
      </c>
      <c r="E333" s="8" t="s">
        <v>7</v>
      </c>
      <c r="F333" s="8">
        <v>123220</v>
      </c>
      <c r="G333" s="8" t="s">
        <v>15</v>
      </c>
      <c r="H333" s="8">
        <v>384</v>
      </c>
      <c r="I333" s="8" t="s">
        <v>9</v>
      </c>
      <c r="J333" s="8">
        <v>1762096</v>
      </c>
      <c r="K333" s="8">
        <v>15</v>
      </c>
      <c r="L333" s="8">
        <v>14.42</v>
      </c>
      <c r="M333" s="8">
        <v>1411.63</v>
      </c>
      <c r="N333" s="8" t="s">
        <v>10</v>
      </c>
      <c r="O333" s="8" t="s">
        <v>22</v>
      </c>
      <c r="P333" s="9">
        <v>45037</v>
      </c>
      <c r="Q333" s="8" t="s">
        <v>43</v>
      </c>
      <c r="R333" s="10">
        <v>0</v>
      </c>
    </row>
    <row r="334" spans="1:18" x14ac:dyDescent="0.3">
      <c r="A334" s="7" t="s">
        <v>368</v>
      </c>
      <c r="B334" s="8" t="s">
        <v>20</v>
      </c>
      <c r="C334" s="8">
        <v>65</v>
      </c>
      <c r="D334" s="8" t="s">
        <v>31</v>
      </c>
      <c r="E334" s="8" t="s">
        <v>21</v>
      </c>
      <c r="F334" s="8">
        <v>122459</v>
      </c>
      <c r="G334" s="8" t="s">
        <v>25</v>
      </c>
      <c r="H334" s="8">
        <v>367</v>
      </c>
      <c r="I334" s="8" t="s">
        <v>9</v>
      </c>
      <c r="J334" s="8">
        <v>870796</v>
      </c>
      <c r="K334" s="8">
        <v>20</v>
      </c>
      <c r="L334" s="8">
        <v>7.37</v>
      </c>
      <c r="M334" s="8">
        <v>267.41000000000003</v>
      </c>
      <c r="N334" s="8" t="s">
        <v>42</v>
      </c>
      <c r="O334" s="8" t="s">
        <v>18</v>
      </c>
      <c r="P334" s="9">
        <v>44833</v>
      </c>
      <c r="Q334" s="8" t="s">
        <v>29</v>
      </c>
      <c r="R334" s="10">
        <v>1</v>
      </c>
    </row>
    <row r="335" spans="1:18" x14ac:dyDescent="0.3">
      <c r="A335" s="7" t="s">
        <v>369</v>
      </c>
      <c r="B335" s="8" t="s">
        <v>52</v>
      </c>
      <c r="C335" s="8">
        <v>39</v>
      </c>
      <c r="D335" s="8" t="s">
        <v>6</v>
      </c>
      <c r="E335" s="8" t="s">
        <v>7</v>
      </c>
      <c r="F335" s="8">
        <v>72692</v>
      </c>
      <c r="G335" s="8" t="s">
        <v>15</v>
      </c>
      <c r="H335" s="8">
        <v>774</v>
      </c>
      <c r="I335" s="8" t="s">
        <v>40</v>
      </c>
      <c r="J335" s="8">
        <v>1123963</v>
      </c>
      <c r="K335" s="8">
        <v>10</v>
      </c>
      <c r="L335" s="8">
        <v>13.09</v>
      </c>
      <c r="M335" s="8">
        <v>1226.06</v>
      </c>
      <c r="N335" s="8" t="s">
        <v>10</v>
      </c>
      <c r="O335" s="8" t="s">
        <v>28</v>
      </c>
      <c r="P335" s="9">
        <v>45063</v>
      </c>
      <c r="Q335" s="8" t="s">
        <v>43</v>
      </c>
      <c r="R335" s="10">
        <v>0</v>
      </c>
    </row>
    <row r="336" spans="1:18" x14ac:dyDescent="0.3">
      <c r="A336" s="7" t="s">
        <v>370</v>
      </c>
      <c r="B336" s="8" t="s">
        <v>39</v>
      </c>
      <c r="C336" s="8">
        <v>37</v>
      </c>
      <c r="D336" s="8" t="s">
        <v>6</v>
      </c>
      <c r="E336" s="8" t="s">
        <v>7</v>
      </c>
      <c r="F336" s="8">
        <v>147276</v>
      </c>
      <c r="G336" s="8" t="s">
        <v>15</v>
      </c>
      <c r="H336" s="8">
        <v>839</v>
      </c>
      <c r="I336" s="8" t="s">
        <v>40</v>
      </c>
      <c r="J336" s="8">
        <v>527063</v>
      </c>
      <c r="K336" s="8">
        <v>15</v>
      </c>
      <c r="L336" s="8">
        <v>7.74</v>
      </c>
      <c r="M336" s="8">
        <v>226.64</v>
      </c>
      <c r="N336" s="8" t="s">
        <v>8</v>
      </c>
      <c r="O336" s="8" t="s">
        <v>28</v>
      </c>
      <c r="P336" s="9">
        <v>44838</v>
      </c>
      <c r="Q336" s="8" t="s">
        <v>29</v>
      </c>
      <c r="R336" s="10">
        <v>1</v>
      </c>
    </row>
    <row r="337" spans="1:18" x14ac:dyDescent="0.3">
      <c r="A337" s="7" t="s">
        <v>371</v>
      </c>
      <c r="B337" s="8" t="s">
        <v>20</v>
      </c>
      <c r="C337" s="8">
        <v>61</v>
      </c>
      <c r="D337" s="8" t="s">
        <v>31</v>
      </c>
      <c r="E337" s="8" t="s">
        <v>7</v>
      </c>
      <c r="F337" s="8">
        <v>97150</v>
      </c>
      <c r="G337" s="8" t="s">
        <v>15</v>
      </c>
      <c r="H337" s="8">
        <v>753</v>
      </c>
      <c r="I337" s="8" t="s">
        <v>40</v>
      </c>
      <c r="J337" s="8">
        <v>1671201</v>
      </c>
      <c r="K337" s="8">
        <v>10</v>
      </c>
      <c r="L337" s="8">
        <v>8.2200000000000006</v>
      </c>
      <c r="M337" s="8">
        <v>1144.77</v>
      </c>
      <c r="N337" s="8" t="s">
        <v>17</v>
      </c>
      <c r="O337" s="8" t="s">
        <v>22</v>
      </c>
      <c r="P337" s="9">
        <v>45184</v>
      </c>
      <c r="Q337" s="8" t="s">
        <v>12</v>
      </c>
      <c r="R337" s="10">
        <v>0</v>
      </c>
    </row>
    <row r="338" spans="1:18" x14ac:dyDescent="0.3">
      <c r="A338" s="7" t="s">
        <v>372</v>
      </c>
      <c r="B338" s="8" t="s">
        <v>45</v>
      </c>
      <c r="C338" s="8">
        <v>53</v>
      </c>
      <c r="D338" s="8" t="s">
        <v>31</v>
      </c>
      <c r="E338" s="8" t="s">
        <v>7</v>
      </c>
      <c r="F338" s="8">
        <v>119221</v>
      </c>
      <c r="G338" s="8" t="s">
        <v>15</v>
      </c>
      <c r="H338" s="8">
        <v>723</v>
      </c>
      <c r="I338" s="8" t="s">
        <v>40</v>
      </c>
      <c r="J338" s="8">
        <v>1826278</v>
      </c>
      <c r="K338" s="8">
        <v>10</v>
      </c>
      <c r="L338" s="8">
        <v>8.7799999999999994</v>
      </c>
      <c r="M338" s="8">
        <v>1336.23</v>
      </c>
      <c r="N338" s="8" t="s">
        <v>42</v>
      </c>
      <c r="O338" s="8" t="s">
        <v>28</v>
      </c>
      <c r="P338" s="9">
        <v>44992</v>
      </c>
      <c r="Q338" s="8" t="s">
        <v>43</v>
      </c>
      <c r="R338" s="10">
        <v>0</v>
      </c>
    </row>
    <row r="339" spans="1:18" x14ac:dyDescent="0.3">
      <c r="A339" s="7" t="s">
        <v>373</v>
      </c>
      <c r="B339" s="8" t="s">
        <v>20</v>
      </c>
      <c r="C339" s="8">
        <v>63</v>
      </c>
      <c r="D339" s="8" t="s">
        <v>31</v>
      </c>
      <c r="E339" s="8" t="s">
        <v>7</v>
      </c>
      <c r="F339" s="8">
        <v>48187</v>
      </c>
      <c r="G339" s="8" t="s">
        <v>25</v>
      </c>
      <c r="H339" s="8">
        <v>823</v>
      </c>
      <c r="I339" s="8" t="s">
        <v>40</v>
      </c>
      <c r="J339" s="8">
        <v>339022</v>
      </c>
      <c r="K339" s="8">
        <v>15</v>
      </c>
      <c r="L339" s="8">
        <v>11.87</v>
      </c>
      <c r="M339" s="8">
        <v>223.57</v>
      </c>
      <c r="N339" s="8" t="s">
        <v>27</v>
      </c>
      <c r="O339" s="8" t="s">
        <v>28</v>
      </c>
      <c r="P339" s="9">
        <v>44851</v>
      </c>
      <c r="Q339" s="8" t="s">
        <v>43</v>
      </c>
      <c r="R339" s="10">
        <v>0</v>
      </c>
    </row>
    <row r="340" spans="1:18" x14ac:dyDescent="0.3">
      <c r="A340" s="7" t="s">
        <v>374</v>
      </c>
      <c r="B340" s="8" t="s">
        <v>36</v>
      </c>
      <c r="C340" s="8">
        <v>52</v>
      </c>
      <c r="D340" s="8" t="s">
        <v>31</v>
      </c>
      <c r="E340" s="8" t="s">
        <v>21</v>
      </c>
      <c r="F340" s="8">
        <v>97524</v>
      </c>
      <c r="G340" s="8" t="s">
        <v>25</v>
      </c>
      <c r="H340" s="8">
        <v>410</v>
      </c>
      <c r="I340" s="8" t="s">
        <v>9</v>
      </c>
      <c r="J340" s="8">
        <v>851130</v>
      </c>
      <c r="K340" s="8">
        <v>20</v>
      </c>
      <c r="L340" s="8">
        <v>8.9</v>
      </c>
      <c r="M340" s="8">
        <v>315.63</v>
      </c>
      <c r="N340" s="8" t="s">
        <v>8</v>
      </c>
      <c r="O340" s="8" t="s">
        <v>28</v>
      </c>
      <c r="P340" s="9">
        <v>44993</v>
      </c>
      <c r="Q340" s="8" t="s">
        <v>12</v>
      </c>
      <c r="R340" s="10">
        <v>0</v>
      </c>
    </row>
    <row r="341" spans="1:18" x14ac:dyDescent="0.3">
      <c r="A341" s="7" t="s">
        <v>375</v>
      </c>
      <c r="B341" s="8" t="s">
        <v>20</v>
      </c>
      <c r="C341" s="8">
        <v>47</v>
      </c>
      <c r="D341" s="8" t="s">
        <v>31</v>
      </c>
      <c r="E341" s="8" t="s">
        <v>7</v>
      </c>
      <c r="F341" s="8">
        <v>142913</v>
      </c>
      <c r="G341" s="8" t="s">
        <v>15</v>
      </c>
      <c r="H341" s="8">
        <v>555</v>
      </c>
      <c r="I341" s="8" t="s">
        <v>16</v>
      </c>
      <c r="J341" s="8">
        <v>1253816</v>
      </c>
      <c r="K341" s="8">
        <v>20</v>
      </c>
      <c r="L341" s="8">
        <v>11.17</v>
      </c>
      <c r="M341" s="8">
        <v>583.54999999999995</v>
      </c>
      <c r="N341" s="8" t="s">
        <v>27</v>
      </c>
      <c r="O341" s="8" t="s">
        <v>11</v>
      </c>
      <c r="P341" s="9">
        <v>44835</v>
      </c>
      <c r="Q341" s="8" t="s">
        <v>12</v>
      </c>
      <c r="R341" s="10">
        <v>0</v>
      </c>
    </row>
    <row r="342" spans="1:18" x14ac:dyDescent="0.3">
      <c r="A342" s="7" t="s">
        <v>376</v>
      </c>
      <c r="B342" s="8" t="s">
        <v>47</v>
      </c>
      <c r="C342" s="8">
        <v>50</v>
      </c>
      <c r="D342" s="8" t="s">
        <v>31</v>
      </c>
      <c r="E342" s="8" t="s">
        <v>7</v>
      </c>
      <c r="F342" s="8">
        <v>122500</v>
      </c>
      <c r="G342" s="8" t="s">
        <v>8</v>
      </c>
      <c r="H342" s="8">
        <v>521</v>
      </c>
      <c r="I342" s="8" t="s">
        <v>9</v>
      </c>
      <c r="J342" s="8">
        <v>1171177</v>
      </c>
      <c r="K342" s="8">
        <v>15</v>
      </c>
      <c r="L342" s="8">
        <v>11.37</v>
      </c>
      <c r="M342" s="8">
        <v>739.79</v>
      </c>
      <c r="N342" s="8" t="s">
        <v>42</v>
      </c>
      <c r="O342" s="8" t="s">
        <v>28</v>
      </c>
      <c r="P342" s="9">
        <v>44680</v>
      </c>
      <c r="Q342" s="8" t="s">
        <v>12</v>
      </c>
      <c r="R342" s="10">
        <v>0</v>
      </c>
    </row>
    <row r="343" spans="1:18" x14ac:dyDescent="0.3">
      <c r="A343" s="7" t="s">
        <v>377</v>
      </c>
      <c r="B343" s="8" t="s">
        <v>36</v>
      </c>
      <c r="C343" s="8">
        <v>30</v>
      </c>
      <c r="D343" s="8" t="s">
        <v>6</v>
      </c>
      <c r="E343" s="8" t="s">
        <v>21</v>
      </c>
      <c r="F343" s="8">
        <v>65896</v>
      </c>
      <c r="G343" s="8" t="s">
        <v>25</v>
      </c>
      <c r="H343" s="8">
        <v>782</v>
      </c>
      <c r="I343" s="8" t="s">
        <v>40</v>
      </c>
      <c r="J343" s="8">
        <v>876963</v>
      </c>
      <c r="K343" s="8">
        <v>15</v>
      </c>
      <c r="L343" s="8">
        <v>9.6199999999999992</v>
      </c>
      <c r="M343" s="8">
        <v>468.69</v>
      </c>
      <c r="N343" s="8" t="s">
        <v>17</v>
      </c>
      <c r="O343" s="8" t="s">
        <v>22</v>
      </c>
      <c r="P343" s="9">
        <v>45066</v>
      </c>
      <c r="Q343" s="8" t="s">
        <v>43</v>
      </c>
      <c r="R343" s="10">
        <v>0</v>
      </c>
    </row>
    <row r="344" spans="1:18" x14ac:dyDescent="0.3">
      <c r="A344" s="7" t="s">
        <v>378</v>
      </c>
      <c r="B344" s="8" t="s">
        <v>52</v>
      </c>
      <c r="C344" s="8">
        <v>44</v>
      </c>
      <c r="D344" s="8" t="s">
        <v>6</v>
      </c>
      <c r="E344" s="8" t="s">
        <v>21</v>
      </c>
      <c r="F344" s="8">
        <v>104074</v>
      </c>
      <c r="G344" s="8" t="s">
        <v>15</v>
      </c>
      <c r="H344" s="8">
        <v>697</v>
      </c>
      <c r="I344" s="8" t="s">
        <v>16</v>
      </c>
      <c r="J344" s="8">
        <v>1475581</v>
      </c>
      <c r="K344" s="8">
        <v>5</v>
      </c>
      <c r="L344" s="8">
        <v>10.94</v>
      </c>
      <c r="M344" s="8">
        <v>2690.48</v>
      </c>
      <c r="N344" s="8" t="s">
        <v>10</v>
      </c>
      <c r="O344" s="8" t="s">
        <v>11</v>
      </c>
      <c r="P344" s="9">
        <v>45092</v>
      </c>
      <c r="Q344" s="8" t="s">
        <v>12</v>
      </c>
      <c r="R344" s="10">
        <v>0</v>
      </c>
    </row>
    <row r="345" spans="1:18" x14ac:dyDescent="0.3">
      <c r="A345" s="7" t="s">
        <v>379</v>
      </c>
      <c r="B345" s="8" t="s">
        <v>5</v>
      </c>
      <c r="C345" s="8">
        <v>30</v>
      </c>
      <c r="D345" s="8" t="s">
        <v>6</v>
      </c>
      <c r="E345" s="8" t="s">
        <v>21</v>
      </c>
      <c r="F345" s="8">
        <v>67058</v>
      </c>
      <c r="G345" s="8" t="s">
        <v>25</v>
      </c>
      <c r="H345" s="8">
        <v>326</v>
      </c>
      <c r="I345" s="8" t="s">
        <v>9</v>
      </c>
      <c r="J345" s="8">
        <v>1260210</v>
      </c>
      <c r="K345" s="8">
        <v>20</v>
      </c>
      <c r="L345" s="8">
        <v>7.65</v>
      </c>
      <c r="M345" s="8">
        <v>401.69</v>
      </c>
      <c r="N345" s="8" t="s">
        <v>8</v>
      </c>
      <c r="O345" s="8" t="s">
        <v>28</v>
      </c>
      <c r="P345" s="9">
        <v>44564</v>
      </c>
      <c r="Q345" s="8" t="s">
        <v>12</v>
      </c>
      <c r="R345" s="10">
        <v>0</v>
      </c>
    </row>
    <row r="346" spans="1:18" x14ac:dyDescent="0.3">
      <c r="A346" s="7" t="s">
        <v>380</v>
      </c>
      <c r="B346" s="8" t="s">
        <v>39</v>
      </c>
      <c r="C346" s="8">
        <v>58</v>
      </c>
      <c r="D346" s="8" t="s">
        <v>31</v>
      </c>
      <c r="E346" s="8" t="s">
        <v>21</v>
      </c>
      <c r="F346" s="8">
        <v>96614</v>
      </c>
      <c r="G346" s="8" t="s">
        <v>8</v>
      </c>
      <c r="H346" s="8">
        <v>323</v>
      </c>
      <c r="I346" s="8" t="s">
        <v>9</v>
      </c>
      <c r="J346" s="8">
        <v>1424157</v>
      </c>
      <c r="K346" s="8">
        <v>5</v>
      </c>
      <c r="L346" s="8">
        <v>8.7799999999999994</v>
      </c>
      <c r="M346" s="8">
        <v>2084.02</v>
      </c>
      <c r="N346" s="8" t="s">
        <v>27</v>
      </c>
      <c r="O346" s="8" t="s">
        <v>28</v>
      </c>
      <c r="P346" s="9">
        <v>44640</v>
      </c>
      <c r="Q346" s="8" t="s">
        <v>12</v>
      </c>
      <c r="R346" s="10">
        <v>0</v>
      </c>
    </row>
    <row r="347" spans="1:18" x14ac:dyDescent="0.3">
      <c r="A347" s="7" t="s">
        <v>381</v>
      </c>
      <c r="B347" s="8" t="s">
        <v>20</v>
      </c>
      <c r="C347" s="8">
        <v>39</v>
      </c>
      <c r="D347" s="8" t="s">
        <v>6</v>
      </c>
      <c r="E347" s="8" t="s">
        <v>21</v>
      </c>
      <c r="F347" s="8">
        <v>102159</v>
      </c>
      <c r="G347" s="8" t="s">
        <v>15</v>
      </c>
      <c r="H347" s="8">
        <v>435</v>
      </c>
      <c r="I347" s="8" t="s">
        <v>9</v>
      </c>
      <c r="J347" s="8">
        <v>531106</v>
      </c>
      <c r="K347" s="8">
        <v>5</v>
      </c>
      <c r="L347" s="8">
        <v>10.15</v>
      </c>
      <c r="M347" s="8">
        <v>898.45</v>
      </c>
      <c r="N347" s="8" t="s">
        <v>27</v>
      </c>
      <c r="O347" s="8" t="s">
        <v>11</v>
      </c>
      <c r="P347" s="9">
        <v>44602</v>
      </c>
      <c r="Q347" s="8" t="s">
        <v>29</v>
      </c>
      <c r="R347" s="10">
        <v>1</v>
      </c>
    </row>
    <row r="348" spans="1:18" x14ac:dyDescent="0.3">
      <c r="A348" s="7" t="s">
        <v>382</v>
      </c>
      <c r="B348" s="8" t="s">
        <v>14</v>
      </c>
      <c r="C348" s="8">
        <v>46</v>
      </c>
      <c r="D348" s="8" t="s">
        <v>31</v>
      </c>
      <c r="E348" s="8" t="s">
        <v>21</v>
      </c>
      <c r="F348" s="8">
        <v>136175</v>
      </c>
      <c r="G348" s="8" t="s">
        <v>8</v>
      </c>
      <c r="H348" s="8">
        <v>641</v>
      </c>
      <c r="I348" s="8" t="s">
        <v>16</v>
      </c>
      <c r="J348" s="8">
        <v>768796</v>
      </c>
      <c r="K348" s="8">
        <v>20</v>
      </c>
      <c r="L348" s="8">
        <v>8.2200000000000006</v>
      </c>
      <c r="M348" s="8">
        <v>263.31</v>
      </c>
      <c r="N348" s="8" t="s">
        <v>27</v>
      </c>
      <c r="O348" s="8" t="s">
        <v>28</v>
      </c>
      <c r="P348" s="9">
        <v>45129</v>
      </c>
      <c r="Q348" s="8" t="s">
        <v>12</v>
      </c>
      <c r="R348" s="10">
        <v>0</v>
      </c>
    </row>
    <row r="349" spans="1:18" x14ac:dyDescent="0.3">
      <c r="A349" s="7" t="s">
        <v>383</v>
      </c>
      <c r="B349" s="8" t="s">
        <v>20</v>
      </c>
      <c r="C349" s="8">
        <v>49</v>
      </c>
      <c r="D349" s="8" t="s">
        <v>31</v>
      </c>
      <c r="E349" s="8" t="s">
        <v>7</v>
      </c>
      <c r="F349" s="8">
        <v>132455</v>
      </c>
      <c r="G349" s="8" t="s">
        <v>8</v>
      </c>
      <c r="H349" s="8">
        <v>312</v>
      </c>
      <c r="I349" s="8" t="s">
        <v>9</v>
      </c>
      <c r="J349" s="8">
        <v>486839</v>
      </c>
      <c r="K349" s="8">
        <v>5</v>
      </c>
      <c r="L349" s="8">
        <v>14.61</v>
      </c>
      <c r="M349" s="8">
        <v>1185.45</v>
      </c>
      <c r="N349" s="8" t="s">
        <v>27</v>
      </c>
      <c r="O349" s="8" t="s">
        <v>28</v>
      </c>
      <c r="P349" s="9">
        <v>45137</v>
      </c>
      <c r="Q349" s="8" t="s">
        <v>43</v>
      </c>
      <c r="R349" s="10">
        <v>0</v>
      </c>
    </row>
    <row r="350" spans="1:18" x14ac:dyDescent="0.3">
      <c r="A350" s="7" t="s">
        <v>384</v>
      </c>
      <c r="B350" s="8" t="s">
        <v>45</v>
      </c>
      <c r="C350" s="8">
        <v>52</v>
      </c>
      <c r="D350" s="8" t="s">
        <v>31</v>
      </c>
      <c r="E350" s="8" t="s">
        <v>7</v>
      </c>
      <c r="F350" s="8">
        <v>120733</v>
      </c>
      <c r="G350" s="8" t="s">
        <v>25</v>
      </c>
      <c r="H350" s="8">
        <v>419</v>
      </c>
      <c r="I350" s="8" t="s">
        <v>9</v>
      </c>
      <c r="J350" s="8">
        <v>1267124</v>
      </c>
      <c r="K350" s="8">
        <v>15</v>
      </c>
      <c r="L350" s="8">
        <v>14.8</v>
      </c>
      <c r="M350" s="8">
        <v>1041.8599999999999</v>
      </c>
      <c r="N350" s="8" t="s">
        <v>42</v>
      </c>
      <c r="O350" s="8" t="s">
        <v>18</v>
      </c>
      <c r="P350" s="9">
        <v>44812</v>
      </c>
      <c r="Q350" s="8" t="s">
        <v>12</v>
      </c>
      <c r="R350" s="10">
        <v>0</v>
      </c>
    </row>
    <row r="351" spans="1:18" x14ac:dyDescent="0.3">
      <c r="A351" s="7" t="s">
        <v>385</v>
      </c>
      <c r="B351" s="8" t="s">
        <v>36</v>
      </c>
      <c r="C351" s="8">
        <v>64</v>
      </c>
      <c r="D351" s="8" t="s">
        <v>31</v>
      </c>
      <c r="E351" s="8" t="s">
        <v>21</v>
      </c>
      <c r="F351" s="8">
        <v>149605</v>
      </c>
      <c r="G351" s="8" t="s">
        <v>8</v>
      </c>
      <c r="H351" s="8">
        <v>442</v>
      </c>
      <c r="I351" s="8" t="s">
        <v>9</v>
      </c>
      <c r="J351" s="8">
        <v>1160482</v>
      </c>
      <c r="K351" s="8">
        <v>15</v>
      </c>
      <c r="L351" s="8">
        <v>10.46</v>
      </c>
      <c r="M351" s="8">
        <v>674.37</v>
      </c>
      <c r="N351" s="8" t="s">
        <v>10</v>
      </c>
      <c r="O351" s="8" t="s">
        <v>28</v>
      </c>
      <c r="P351" s="9">
        <v>44820</v>
      </c>
      <c r="Q351" s="8" t="s">
        <v>43</v>
      </c>
      <c r="R351" s="10">
        <v>0</v>
      </c>
    </row>
    <row r="352" spans="1:18" x14ac:dyDescent="0.3">
      <c r="A352" s="7" t="s">
        <v>386</v>
      </c>
      <c r="B352" s="8" t="s">
        <v>36</v>
      </c>
      <c r="C352" s="8">
        <v>24</v>
      </c>
      <c r="D352" s="8" t="s">
        <v>34</v>
      </c>
      <c r="E352" s="8" t="s">
        <v>7</v>
      </c>
      <c r="F352" s="8">
        <v>37224</v>
      </c>
      <c r="G352" s="8" t="s">
        <v>25</v>
      </c>
      <c r="H352" s="8">
        <v>558</v>
      </c>
      <c r="I352" s="8" t="s">
        <v>16</v>
      </c>
      <c r="J352" s="8">
        <v>328232</v>
      </c>
      <c r="K352" s="8">
        <v>20</v>
      </c>
      <c r="L352" s="8">
        <v>11.92</v>
      </c>
      <c r="M352" s="8">
        <v>163.02000000000001</v>
      </c>
      <c r="N352" s="8" t="s">
        <v>27</v>
      </c>
      <c r="O352" s="8" t="s">
        <v>11</v>
      </c>
      <c r="P352" s="9">
        <v>44750</v>
      </c>
      <c r="Q352" s="8" t="s">
        <v>43</v>
      </c>
      <c r="R352" s="10">
        <v>0</v>
      </c>
    </row>
    <row r="353" spans="1:18" x14ac:dyDescent="0.3">
      <c r="A353" s="7" t="s">
        <v>387</v>
      </c>
      <c r="B353" s="8" t="s">
        <v>36</v>
      </c>
      <c r="C353" s="8">
        <v>37</v>
      </c>
      <c r="D353" s="8" t="s">
        <v>6</v>
      </c>
      <c r="E353" s="8" t="s">
        <v>21</v>
      </c>
      <c r="F353" s="8">
        <v>149757</v>
      </c>
      <c r="G353" s="8" t="s">
        <v>15</v>
      </c>
      <c r="H353" s="8">
        <v>428</v>
      </c>
      <c r="I353" s="8" t="s">
        <v>9</v>
      </c>
      <c r="J353" s="8">
        <v>1552975</v>
      </c>
      <c r="K353" s="8">
        <v>5</v>
      </c>
      <c r="L353" s="8">
        <v>9.49</v>
      </c>
      <c r="M353" s="8">
        <v>2456.29</v>
      </c>
      <c r="N353" s="8" t="s">
        <v>27</v>
      </c>
      <c r="O353" s="8" t="s">
        <v>11</v>
      </c>
      <c r="P353" s="9">
        <v>45251</v>
      </c>
      <c r="Q353" s="8" t="s">
        <v>12</v>
      </c>
      <c r="R353" s="10">
        <v>0</v>
      </c>
    </row>
    <row r="354" spans="1:18" x14ac:dyDescent="0.3">
      <c r="A354" s="7" t="s">
        <v>388</v>
      </c>
      <c r="B354" s="8" t="s">
        <v>20</v>
      </c>
      <c r="C354" s="8">
        <v>40</v>
      </c>
      <c r="D354" s="8" t="s">
        <v>6</v>
      </c>
      <c r="E354" s="8" t="s">
        <v>7</v>
      </c>
      <c r="F354" s="8">
        <v>99221</v>
      </c>
      <c r="G354" s="8" t="s">
        <v>15</v>
      </c>
      <c r="H354" s="8">
        <v>512</v>
      </c>
      <c r="I354" s="8" t="s">
        <v>9</v>
      </c>
      <c r="J354" s="8">
        <v>1371316</v>
      </c>
      <c r="K354" s="8">
        <v>10</v>
      </c>
      <c r="L354" s="8">
        <v>11.33</v>
      </c>
      <c r="M354" s="8">
        <v>1294.75</v>
      </c>
      <c r="N354" s="8" t="s">
        <v>42</v>
      </c>
      <c r="O354" s="8" t="s">
        <v>11</v>
      </c>
      <c r="P354" s="9">
        <v>44690</v>
      </c>
      <c r="Q354" s="8" t="s">
        <v>43</v>
      </c>
      <c r="R354" s="10">
        <v>0</v>
      </c>
    </row>
    <row r="355" spans="1:18" x14ac:dyDescent="0.3">
      <c r="A355" s="7" t="s">
        <v>389</v>
      </c>
      <c r="B355" s="8" t="s">
        <v>45</v>
      </c>
      <c r="C355" s="8">
        <v>51</v>
      </c>
      <c r="D355" s="8" t="s">
        <v>31</v>
      </c>
      <c r="E355" s="8" t="s">
        <v>7</v>
      </c>
      <c r="F355" s="8">
        <v>44995</v>
      </c>
      <c r="G355" s="8" t="s">
        <v>15</v>
      </c>
      <c r="H355" s="8">
        <v>579</v>
      </c>
      <c r="I355" s="8" t="s">
        <v>16</v>
      </c>
      <c r="J355" s="8">
        <v>1545774</v>
      </c>
      <c r="K355" s="8">
        <v>15</v>
      </c>
      <c r="L355" s="8">
        <v>7.1</v>
      </c>
      <c r="M355" s="8">
        <v>609.72</v>
      </c>
      <c r="N355" s="8" t="s">
        <v>42</v>
      </c>
      <c r="O355" s="8" t="s">
        <v>22</v>
      </c>
      <c r="P355" s="9">
        <v>45032</v>
      </c>
      <c r="Q355" s="8" t="s">
        <v>12</v>
      </c>
      <c r="R355" s="10">
        <v>0</v>
      </c>
    </row>
    <row r="356" spans="1:18" x14ac:dyDescent="0.3">
      <c r="A356" s="7" t="s">
        <v>390</v>
      </c>
      <c r="B356" s="8" t="s">
        <v>52</v>
      </c>
      <c r="C356" s="8">
        <v>51</v>
      </c>
      <c r="D356" s="8" t="s">
        <v>31</v>
      </c>
      <c r="E356" s="8" t="s">
        <v>7</v>
      </c>
      <c r="F356" s="8">
        <v>99725</v>
      </c>
      <c r="G356" s="8" t="s">
        <v>25</v>
      </c>
      <c r="H356" s="8">
        <v>309</v>
      </c>
      <c r="I356" s="8" t="s">
        <v>9</v>
      </c>
      <c r="J356" s="8">
        <v>524368</v>
      </c>
      <c r="K356" s="8">
        <v>15</v>
      </c>
      <c r="L356" s="8">
        <v>9.1</v>
      </c>
      <c r="M356" s="8">
        <v>265.10000000000002</v>
      </c>
      <c r="N356" s="8" t="s">
        <v>10</v>
      </c>
      <c r="O356" s="8" t="s">
        <v>18</v>
      </c>
      <c r="P356" s="9">
        <v>45091</v>
      </c>
      <c r="Q356" s="8" t="s">
        <v>12</v>
      </c>
      <c r="R356" s="10">
        <v>0</v>
      </c>
    </row>
    <row r="357" spans="1:18" x14ac:dyDescent="0.3">
      <c r="A357" s="7" t="s">
        <v>391</v>
      </c>
      <c r="B357" s="8" t="s">
        <v>24</v>
      </c>
      <c r="C357" s="8">
        <v>59</v>
      </c>
      <c r="D357" s="8" t="s">
        <v>31</v>
      </c>
      <c r="E357" s="8" t="s">
        <v>21</v>
      </c>
      <c r="F357" s="8">
        <v>43077</v>
      </c>
      <c r="G357" s="8" t="s">
        <v>15</v>
      </c>
      <c r="H357" s="8">
        <v>831</v>
      </c>
      <c r="I357" s="8" t="s">
        <v>40</v>
      </c>
      <c r="J357" s="8">
        <v>657739</v>
      </c>
      <c r="K357" s="8">
        <v>5</v>
      </c>
      <c r="L357" s="8">
        <v>11.5</v>
      </c>
      <c r="M357" s="8">
        <v>1260.67</v>
      </c>
      <c r="N357" s="8" t="s">
        <v>10</v>
      </c>
      <c r="O357" s="8" t="s">
        <v>18</v>
      </c>
      <c r="P357" s="9">
        <v>44846</v>
      </c>
      <c r="Q357" s="8" t="s">
        <v>12</v>
      </c>
      <c r="R357" s="10">
        <v>0</v>
      </c>
    </row>
    <row r="358" spans="1:18" x14ac:dyDescent="0.3">
      <c r="A358" s="7" t="s">
        <v>392</v>
      </c>
      <c r="B358" s="8" t="s">
        <v>36</v>
      </c>
      <c r="C358" s="8">
        <v>48</v>
      </c>
      <c r="D358" s="8" t="s">
        <v>31</v>
      </c>
      <c r="E358" s="8" t="s">
        <v>21</v>
      </c>
      <c r="F358" s="8">
        <v>144575</v>
      </c>
      <c r="G358" s="8" t="s">
        <v>8</v>
      </c>
      <c r="H358" s="8">
        <v>321</v>
      </c>
      <c r="I358" s="8" t="s">
        <v>9</v>
      </c>
      <c r="J358" s="8">
        <v>1688035</v>
      </c>
      <c r="K358" s="8">
        <v>20</v>
      </c>
      <c r="L358" s="8">
        <v>8.99</v>
      </c>
      <c r="M358" s="8">
        <v>632.30999999999995</v>
      </c>
      <c r="N358" s="8" t="s">
        <v>27</v>
      </c>
      <c r="O358" s="8" t="s">
        <v>28</v>
      </c>
      <c r="P358" s="9">
        <v>44758</v>
      </c>
      <c r="Q358" s="8" t="s">
        <v>43</v>
      </c>
      <c r="R358" s="10">
        <v>0</v>
      </c>
    </row>
    <row r="359" spans="1:18" x14ac:dyDescent="0.3">
      <c r="A359" s="7" t="s">
        <v>393</v>
      </c>
      <c r="B359" s="8" t="s">
        <v>20</v>
      </c>
      <c r="C359" s="8">
        <v>48</v>
      </c>
      <c r="D359" s="8" t="s">
        <v>31</v>
      </c>
      <c r="E359" s="8" t="s">
        <v>7</v>
      </c>
      <c r="F359" s="8">
        <v>116286</v>
      </c>
      <c r="G359" s="8" t="s">
        <v>8</v>
      </c>
      <c r="H359" s="8">
        <v>339</v>
      </c>
      <c r="I359" s="8" t="s">
        <v>9</v>
      </c>
      <c r="J359" s="8">
        <v>1434994</v>
      </c>
      <c r="K359" s="8">
        <v>15</v>
      </c>
      <c r="L359" s="8">
        <v>13.78</v>
      </c>
      <c r="M359" s="8">
        <v>1098.57</v>
      </c>
      <c r="N359" s="8" t="s">
        <v>8</v>
      </c>
      <c r="O359" s="8" t="s">
        <v>11</v>
      </c>
      <c r="P359" s="9">
        <v>44703</v>
      </c>
      <c r="Q359" s="8" t="s">
        <v>12</v>
      </c>
      <c r="R359" s="10">
        <v>0</v>
      </c>
    </row>
    <row r="360" spans="1:18" x14ac:dyDescent="0.3">
      <c r="A360" s="7" t="s">
        <v>394</v>
      </c>
      <c r="B360" s="8" t="s">
        <v>36</v>
      </c>
      <c r="C360" s="8">
        <v>62</v>
      </c>
      <c r="D360" s="8" t="s">
        <v>31</v>
      </c>
      <c r="E360" s="8" t="s">
        <v>21</v>
      </c>
      <c r="F360" s="8">
        <v>21245</v>
      </c>
      <c r="G360" s="8" t="s">
        <v>25</v>
      </c>
      <c r="H360" s="8">
        <v>456</v>
      </c>
      <c r="I360" s="8" t="s">
        <v>9</v>
      </c>
      <c r="J360" s="8">
        <v>440186</v>
      </c>
      <c r="K360" s="8">
        <v>20</v>
      </c>
      <c r="L360" s="8">
        <v>14.37</v>
      </c>
      <c r="M360" s="8">
        <v>263.56</v>
      </c>
      <c r="N360" s="8" t="s">
        <v>42</v>
      </c>
      <c r="O360" s="8" t="s">
        <v>28</v>
      </c>
      <c r="P360" s="9">
        <v>44769</v>
      </c>
      <c r="Q360" s="8" t="s">
        <v>43</v>
      </c>
      <c r="R360" s="10">
        <v>0</v>
      </c>
    </row>
    <row r="361" spans="1:18" x14ac:dyDescent="0.3">
      <c r="A361" s="7" t="s">
        <v>395</v>
      </c>
      <c r="B361" s="8" t="s">
        <v>36</v>
      </c>
      <c r="C361" s="8">
        <v>62</v>
      </c>
      <c r="D361" s="8" t="s">
        <v>31</v>
      </c>
      <c r="E361" s="8" t="s">
        <v>7</v>
      </c>
      <c r="F361" s="8">
        <v>143835</v>
      </c>
      <c r="G361" s="8" t="s">
        <v>8</v>
      </c>
      <c r="H361" s="8">
        <v>580</v>
      </c>
      <c r="I361" s="8" t="s">
        <v>16</v>
      </c>
      <c r="J361" s="8">
        <v>1094985</v>
      </c>
      <c r="K361" s="8">
        <v>15</v>
      </c>
      <c r="L361" s="8">
        <v>13.86</v>
      </c>
      <c r="M361" s="8">
        <v>843.14</v>
      </c>
      <c r="N361" s="8" t="s">
        <v>8</v>
      </c>
      <c r="O361" s="8" t="s">
        <v>28</v>
      </c>
      <c r="P361" s="9">
        <v>44693</v>
      </c>
      <c r="Q361" s="8" t="s">
        <v>43</v>
      </c>
      <c r="R361" s="10">
        <v>0</v>
      </c>
    </row>
    <row r="362" spans="1:18" x14ac:dyDescent="0.3">
      <c r="A362" s="7" t="s">
        <v>396</v>
      </c>
      <c r="B362" s="8" t="s">
        <v>5</v>
      </c>
      <c r="C362" s="8">
        <v>47</v>
      </c>
      <c r="D362" s="8" t="s">
        <v>31</v>
      </c>
      <c r="E362" s="8" t="s">
        <v>21</v>
      </c>
      <c r="F362" s="8">
        <v>97985</v>
      </c>
      <c r="G362" s="8" t="s">
        <v>25</v>
      </c>
      <c r="H362" s="8">
        <v>525</v>
      </c>
      <c r="I362" s="8" t="s">
        <v>9</v>
      </c>
      <c r="J362" s="8">
        <v>1436111</v>
      </c>
      <c r="K362" s="8">
        <v>20</v>
      </c>
      <c r="L362" s="8">
        <v>14.17</v>
      </c>
      <c r="M362" s="8">
        <v>847.9</v>
      </c>
      <c r="N362" s="8" t="s">
        <v>10</v>
      </c>
      <c r="O362" s="8" t="s">
        <v>18</v>
      </c>
      <c r="P362" s="9">
        <v>45211</v>
      </c>
      <c r="Q362" s="8" t="s">
        <v>12</v>
      </c>
      <c r="R362" s="10">
        <v>0</v>
      </c>
    </row>
    <row r="363" spans="1:18" x14ac:dyDescent="0.3">
      <c r="A363" s="7" t="s">
        <v>397</v>
      </c>
      <c r="B363" s="8" t="s">
        <v>5</v>
      </c>
      <c r="C363" s="8">
        <v>48</v>
      </c>
      <c r="D363" s="8" t="s">
        <v>31</v>
      </c>
      <c r="E363" s="8" t="s">
        <v>21</v>
      </c>
      <c r="F363" s="8">
        <v>26320</v>
      </c>
      <c r="G363" s="8" t="s">
        <v>25</v>
      </c>
      <c r="H363" s="8">
        <v>545</v>
      </c>
      <c r="I363" s="8" t="s">
        <v>9</v>
      </c>
      <c r="J363" s="8">
        <v>1096188</v>
      </c>
      <c r="K363" s="8">
        <v>20</v>
      </c>
      <c r="L363" s="8">
        <v>13.16</v>
      </c>
      <c r="M363" s="8">
        <v>601.08000000000004</v>
      </c>
      <c r="N363" s="8" t="s">
        <v>42</v>
      </c>
      <c r="O363" s="8" t="s">
        <v>22</v>
      </c>
      <c r="P363" s="9">
        <v>44814</v>
      </c>
      <c r="Q363" s="8" t="s">
        <v>43</v>
      </c>
      <c r="R363" s="10">
        <v>0</v>
      </c>
    </row>
    <row r="364" spans="1:18" x14ac:dyDescent="0.3">
      <c r="A364" s="7" t="s">
        <v>398</v>
      </c>
      <c r="B364" s="8" t="s">
        <v>47</v>
      </c>
      <c r="C364" s="8">
        <v>38</v>
      </c>
      <c r="D364" s="8" t="s">
        <v>6</v>
      </c>
      <c r="E364" s="8" t="s">
        <v>7</v>
      </c>
      <c r="F364" s="8">
        <v>24313</v>
      </c>
      <c r="G364" s="8" t="s">
        <v>8</v>
      </c>
      <c r="H364" s="8">
        <v>742</v>
      </c>
      <c r="I364" s="8" t="s">
        <v>40</v>
      </c>
      <c r="J364" s="8">
        <v>1407281</v>
      </c>
      <c r="K364" s="8">
        <v>20</v>
      </c>
      <c r="L364" s="8">
        <v>12.9</v>
      </c>
      <c r="M364" s="8">
        <v>756.41</v>
      </c>
      <c r="N364" s="8" t="s">
        <v>10</v>
      </c>
      <c r="O364" s="8" t="s">
        <v>11</v>
      </c>
      <c r="P364" s="9">
        <v>44993</v>
      </c>
      <c r="Q364" s="8" t="s">
        <v>29</v>
      </c>
      <c r="R364" s="10">
        <v>1</v>
      </c>
    </row>
    <row r="365" spans="1:18" x14ac:dyDescent="0.3">
      <c r="A365" s="7" t="s">
        <v>399</v>
      </c>
      <c r="B365" s="8" t="s">
        <v>45</v>
      </c>
      <c r="C365" s="8">
        <v>35</v>
      </c>
      <c r="D365" s="8" t="s">
        <v>6</v>
      </c>
      <c r="E365" s="8" t="s">
        <v>7</v>
      </c>
      <c r="F365" s="8">
        <v>118606</v>
      </c>
      <c r="G365" s="8" t="s">
        <v>15</v>
      </c>
      <c r="H365" s="8">
        <v>651</v>
      </c>
      <c r="I365" s="8" t="s">
        <v>16</v>
      </c>
      <c r="J365" s="8">
        <v>653501</v>
      </c>
      <c r="K365" s="8">
        <v>5</v>
      </c>
      <c r="L365" s="8">
        <v>10.08</v>
      </c>
      <c r="M365" s="8">
        <v>1097.8800000000001</v>
      </c>
      <c r="N365" s="8" t="s">
        <v>10</v>
      </c>
      <c r="O365" s="8" t="s">
        <v>18</v>
      </c>
      <c r="P365" s="9">
        <v>44648</v>
      </c>
      <c r="Q365" s="8" t="s">
        <v>29</v>
      </c>
      <c r="R365" s="10">
        <v>1</v>
      </c>
    </row>
    <row r="366" spans="1:18" x14ac:dyDescent="0.3">
      <c r="A366" s="7" t="s">
        <v>400</v>
      </c>
      <c r="B366" s="8" t="s">
        <v>36</v>
      </c>
      <c r="C366" s="8">
        <v>24</v>
      </c>
      <c r="D366" s="8" t="s">
        <v>34</v>
      </c>
      <c r="E366" s="8" t="s">
        <v>7</v>
      </c>
      <c r="F366" s="8">
        <v>92442</v>
      </c>
      <c r="G366" s="8" t="s">
        <v>25</v>
      </c>
      <c r="H366" s="8">
        <v>489</v>
      </c>
      <c r="I366" s="8" t="s">
        <v>9</v>
      </c>
      <c r="J366" s="8">
        <v>498677</v>
      </c>
      <c r="K366" s="8">
        <v>5</v>
      </c>
      <c r="L366" s="8">
        <v>13.79</v>
      </c>
      <c r="M366" s="8">
        <v>1146.1300000000001</v>
      </c>
      <c r="N366" s="8" t="s">
        <v>8</v>
      </c>
      <c r="O366" s="8" t="s">
        <v>11</v>
      </c>
      <c r="P366" s="9">
        <v>45180</v>
      </c>
      <c r="Q366" s="8" t="s">
        <v>29</v>
      </c>
      <c r="R366" s="10">
        <v>1</v>
      </c>
    </row>
    <row r="367" spans="1:18" x14ac:dyDescent="0.3">
      <c r="A367" s="7" t="s">
        <v>401</v>
      </c>
      <c r="B367" s="8" t="s">
        <v>5</v>
      </c>
      <c r="C367" s="8">
        <v>53</v>
      </c>
      <c r="D367" s="8" t="s">
        <v>31</v>
      </c>
      <c r="E367" s="8" t="s">
        <v>7</v>
      </c>
      <c r="F367" s="8">
        <v>72988</v>
      </c>
      <c r="G367" s="8" t="s">
        <v>8</v>
      </c>
      <c r="H367" s="8">
        <v>662</v>
      </c>
      <c r="I367" s="8" t="s">
        <v>16</v>
      </c>
      <c r="J367" s="8">
        <v>1995455</v>
      </c>
      <c r="K367" s="8">
        <v>5</v>
      </c>
      <c r="L367" s="8">
        <v>12.5</v>
      </c>
      <c r="M367" s="8">
        <v>4157.2</v>
      </c>
      <c r="N367" s="8" t="s">
        <v>17</v>
      </c>
      <c r="O367" s="8" t="s">
        <v>18</v>
      </c>
      <c r="P367" s="9">
        <v>44910</v>
      </c>
      <c r="Q367" s="8" t="s">
        <v>43</v>
      </c>
      <c r="R367" s="10">
        <v>0</v>
      </c>
    </row>
    <row r="368" spans="1:18" x14ac:dyDescent="0.3">
      <c r="A368" s="7" t="s">
        <v>402</v>
      </c>
      <c r="B368" s="8" t="s">
        <v>47</v>
      </c>
      <c r="C368" s="8">
        <v>36</v>
      </c>
      <c r="D368" s="8" t="s">
        <v>6</v>
      </c>
      <c r="E368" s="8" t="s">
        <v>21</v>
      </c>
      <c r="F368" s="8">
        <v>86291</v>
      </c>
      <c r="G368" s="8" t="s">
        <v>25</v>
      </c>
      <c r="H368" s="8">
        <v>815</v>
      </c>
      <c r="I368" s="8" t="s">
        <v>40</v>
      </c>
      <c r="J368" s="8">
        <v>1959716</v>
      </c>
      <c r="K368" s="8">
        <v>15</v>
      </c>
      <c r="L368" s="8">
        <v>10.32</v>
      </c>
      <c r="M368" s="8">
        <v>1123.57</v>
      </c>
      <c r="N368" s="8" t="s">
        <v>42</v>
      </c>
      <c r="O368" s="8" t="s">
        <v>22</v>
      </c>
      <c r="P368" s="9">
        <v>45218</v>
      </c>
      <c r="Q368" s="8" t="s">
        <v>29</v>
      </c>
      <c r="R368" s="10">
        <v>1</v>
      </c>
    </row>
    <row r="369" spans="1:18" x14ac:dyDescent="0.3">
      <c r="A369" s="7" t="s">
        <v>403</v>
      </c>
      <c r="B369" s="8" t="s">
        <v>36</v>
      </c>
      <c r="C369" s="8">
        <v>43</v>
      </c>
      <c r="D369" s="8" t="s">
        <v>6</v>
      </c>
      <c r="E369" s="8" t="s">
        <v>7</v>
      </c>
      <c r="F369" s="8">
        <v>104211</v>
      </c>
      <c r="G369" s="8" t="s">
        <v>15</v>
      </c>
      <c r="H369" s="8">
        <v>311</v>
      </c>
      <c r="I369" s="8" t="s">
        <v>9</v>
      </c>
      <c r="J369" s="8">
        <v>979598</v>
      </c>
      <c r="K369" s="8">
        <v>5</v>
      </c>
      <c r="L369" s="8">
        <v>8.68</v>
      </c>
      <c r="M369" s="8">
        <v>1417.15</v>
      </c>
      <c r="N369" s="8" t="s">
        <v>27</v>
      </c>
      <c r="O369" s="8" t="s">
        <v>18</v>
      </c>
      <c r="P369" s="9">
        <v>45446</v>
      </c>
      <c r="Q369" s="8" t="s">
        <v>43</v>
      </c>
      <c r="R369" s="10">
        <v>0</v>
      </c>
    </row>
    <row r="370" spans="1:18" x14ac:dyDescent="0.3">
      <c r="A370" s="7" t="s">
        <v>404</v>
      </c>
      <c r="B370" s="8" t="s">
        <v>5</v>
      </c>
      <c r="C370" s="8">
        <v>38</v>
      </c>
      <c r="D370" s="8" t="s">
        <v>6</v>
      </c>
      <c r="E370" s="8" t="s">
        <v>7</v>
      </c>
      <c r="F370" s="8">
        <v>23866</v>
      </c>
      <c r="G370" s="8" t="s">
        <v>15</v>
      </c>
      <c r="H370" s="8">
        <v>696</v>
      </c>
      <c r="I370" s="8" t="s">
        <v>16</v>
      </c>
      <c r="J370" s="8">
        <v>1219418</v>
      </c>
      <c r="K370" s="8">
        <v>20</v>
      </c>
      <c r="L370" s="8">
        <v>14.43</v>
      </c>
      <c r="M370" s="8">
        <v>733.18</v>
      </c>
      <c r="N370" s="8" t="s">
        <v>42</v>
      </c>
      <c r="O370" s="8" t="s">
        <v>28</v>
      </c>
      <c r="P370" s="9">
        <v>45312</v>
      </c>
      <c r="Q370" s="8" t="s">
        <v>12</v>
      </c>
      <c r="R370" s="10">
        <v>0</v>
      </c>
    </row>
    <row r="371" spans="1:18" x14ac:dyDescent="0.3">
      <c r="A371" s="7" t="s">
        <v>405</v>
      </c>
      <c r="B371" s="8" t="s">
        <v>36</v>
      </c>
      <c r="C371" s="8">
        <v>33</v>
      </c>
      <c r="D371" s="8" t="s">
        <v>6</v>
      </c>
      <c r="E371" s="8" t="s">
        <v>21</v>
      </c>
      <c r="F371" s="8">
        <v>54174</v>
      </c>
      <c r="G371" s="8" t="s">
        <v>25</v>
      </c>
      <c r="H371" s="8">
        <v>321</v>
      </c>
      <c r="I371" s="8" t="s">
        <v>9</v>
      </c>
      <c r="J371" s="8">
        <v>1174530</v>
      </c>
      <c r="K371" s="8">
        <v>15</v>
      </c>
      <c r="L371" s="8">
        <v>13.79</v>
      </c>
      <c r="M371" s="8">
        <v>899.82</v>
      </c>
      <c r="N371" s="8" t="s">
        <v>27</v>
      </c>
      <c r="O371" s="8" t="s">
        <v>18</v>
      </c>
      <c r="P371" s="9">
        <v>44933</v>
      </c>
      <c r="Q371" s="8" t="s">
        <v>12</v>
      </c>
      <c r="R371" s="10">
        <v>0</v>
      </c>
    </row>
    <row r="372" spans="1:18" x14ac:dyDescent="0.3">
      <c r="A372" s="7" t="s">
        <v>406</v>
      </c>
      <c r="B372" s="8" t="s">
        <v>14</v>
      </c>
      <c r="C372" s="8">
        <v>53</v>
      </c>
      <c r="D372" s="8" t="s">
        <v>31</v>
      </c>
      <c r="E372" s="8" t="s">
        <v>21</v>
      </c>
      <c r="F372" s="8">
        <v>113475</v>
      </c>
      <c r="G372" s="8" t="s">
        <v>25</v>
      </c>
      <c r="H372" s="8">
        <v>473</v>
      </c>
      <c r="I372" s="8" t="s">
        <v>9</v>
      </c>
      <c r="J372" s="8">
        <v>754499</v>
      </c>
      <c r="K372" s="8">
        <v>5</v>
      </c>
      <c r="L372" s="8">
        <v>11.44</v>
      </c>
      <c r="M372" s="8">
        <v>1438.58</v>
      </c>
      <c r="N372" s="8" t="s">
        <v>8</v>
      </c>
      <c r="O372" s="8" t="s">
        <v>22</v>
      </c>
      <c r="P372" s="9">
        <v>44795</v>
      </c>
      <c r="Q372" s="8" t="s">
        <v>43</v>
      </c>
      <c r="R372" s="10">
        <v>0</v>
      </c>
    </row>
    <row r="373" spans="1:18" x14ac:dyDescent="0.3">
      <c r="A373" s="7" t="s">
        <v>407</v>
      </c>
      <c r="B373" s="8" t="s">
        <v>20</v>
      </c>
      <c r="C373" s="8">
        <v>56</v>
      </c>
      <c r="D373" s="8" t="s">
        <v>31</v>
      </c>
      <c r="E373" s="8" t="s">
        <v>7</v>
      </c>
      <c r="F373" s="8">
        <v>136959</v>
      </c>
      <c r="G373" s="8" t="s">
        <v>8</v>
      </c>
      <c r="H373" s="8">
        <v>481</v>
      </c>
      <c r="I373" s="8" t="s">
        <v>9</v>
      </c>
      <c r="J373" s="8">
        <v>1867145</v>
      </c>
      <c r="K373" s="8">
        <v>20</v>
      </c>
      <c r="L373" s="8">
        <v>10.5</v>
      </c>
      <c r="M373" s="8">
        <v>816.88</v>
      </c>
      <c r="N373" s="8" t="s">
        <v>42</v>
      </c>
      <c r="O373" s="8" t="s">
        <v>28</v>
      </c>
      <c r="P373" s="9">
        <v>44970</v>
      </c>
      <c r="Q373" s="8" t="s">
        <v>12</v>
      </c>
      <c r="R373" s="10">
        <v>0</v>
      </c>
    </row>
    <row r="374" spans="1:18" x14ac:dyDescent="0.3">
      <c r="A374" s="7" t="s">
        <v>408</v>
      </c>
      <c r="B374" s="8" t="s">
        <v>24</v>
      </c>
      <c r="C374" s="8">
        <v>61</v>
      </c>
      <c r="D374" s="8" t="s">
        <v>31</v>
      </c>
      <c r="E374" s="8" t="s">
        <v>7</v>
      </c>
      <c r="F374" s="8">
        <v>115183</v>
      </c>
      <c r="G374" s="8" t="s">
        <v>15</v>
      </c>
      <c r="H374" s="8">
        <v>594</v>
      </c>
      <c r="I374" s="8" t="s">
        <v>16</v>
      </c>
      <c r="J374" s="8">
        <v>700112</v>
      </c>
      <c r="K374" s="8">
        <v>5</v>
      </c>
      <c r="L374" s="8">
        <v>9.31</v>
      </c>
      <c r="M374" s="8">
        <v>1086.3399999999999</v>
      </c>
      <c r="N374" s="8" t="s">
        <v>8</v>
      </c>
      <c r="O374" s="8" t="s">
        <v>18</v>
      </c>
      <c r="P374" s="9">
        <v>45294</v>
      </c>
      <c r="Q374" s="8" t="s">
        <v>43</v>
      </c>
      <c r="R374" s="10">
        <v>0</v>
      </c>
    </row>
    <row r="375" spans="1:18" x14ac:dyDescent="0.3">
      <c r="A375" s="7" t="s">
        <v>409</v>
      </c>
      <c r="B375" s="8" t="s">
        <v>52</v>
      </c>
      <c r="C375" s="8">
        <v>45</v>
      </c>
      <c r="D375" s="8" t="s">
        <v>6</v>
      </c>
      <c r="E375" s="8" t="s">
        <v>7</v>
      </c>
      <c r="F375" s="8">
        <v>143350</v>
      </c>
      <c r="G375" s="8" t="s">
        <v>8</v>
      </c>
      <c r="H375" s="8">
        <v>515</v>
      </c>
      <c r="I375" s="8" t="s">
        <v>9</v>
      </c>
      <c r="J375" s="8">
        <v>208477</v>
      </c>
      <c r="K375" s="8">
        <v>15</v>
      </c>
      <c r="L375" s="8">
        <v>9.51</v>
      </c>
      <c r="M375" s="8">
        <v>110.15</v>
      </c>
      <c r="N375" s="8" t="s">
        <v>27</v>
      </c>
      <c r="O375" s="8" t="s">
        <v>18</v>
      </c>
      <c r="P375" s="9">
        <v>45027</v>
      </c>
      <c r="Q375" s="8" t="s">
        <v>29</v>
      </c>
      <c r="R375" s="10">
        <v>1</v>
      </c>
    </row>
    <row r="376" spans="1:18" x14ac:dyDescent="0.3">
      <c r="A376" s="7" t="s">
        <v>410</v>
      </c>
      <c r="B376" s="8" t="s">
        <v>39</v>
      </c>
      <c r="C376" s="8">
        <v>29</v>
      </c>
      <c r="D376" s="8" t="s">
        <v>34</v>
      </c>
      <c r="E376" s="8" t="s">
        <v>7</v>
      </c>
      <c r="F376" s="8">
        <v>122475</v>
      </c>
      <c r="G376" s="8" t="s">
        <v>25</v>
      </c>
      <c r="H376" s="8">
        <v>806</v>
      </c>
      <c r="I376" s="8" t="s">
        <v>40</v>
      </c>
      <c r="J376" s="8">
        <v>424576</v>
      </c>
      <c r="K376" s="8">
        <v>10</v>
      </c>
      <c r="L376" s="8">
        <v>12.27</v>
      </c>
      <c r="M376" s="8">
        <v>434.13</v>
      </c>
      <c r="N376" s="8" t="s">
        <v>27</v>
      </c>
      <c r="O376" s="8" t="s">
        <v>11</v>
      </c>
      <c r="P376" s="9">
        <v>45133</v>
      </c>
      <c r="Q376" s="8" t="s">
        <v>43</v>
      </c>
      <c r="R376" s="10">
        <v>0</v>
      </c>
    </row>
    <row r="377" spans="1:18" x14ac:dyDescent="0.3">
      <c r="A377" s="7" t="s">
        <v>411</v>
      </c>
      <c r="B377" s="8" t="s">
        <v>47</v>
      </c>
      <c r="C377" s="8">
        <v>63</v>
      </c>
      <c r="D377" s="8" t="s">
        <v>31</v>
      </c>
      <c r="E377" s="8" t="s">
        <v>21</v>
      </c>
      <c r="F377" s="8">
        <v>56324</v>
      </c>
      <c r="G377" s="8" t="s">
        <v>8</v>
      </c>
      <c r="H377" s="8">
        <v>533</v>
      </c>
      <c r="I377" s="8" t="s">
        <v>9</v>
      </c>
      <c r="J377" s="8">
        <v>1901392</v>
      </c>
      <c r="K377" s="8">
        <v>20</v>
      </c>
      <c r="L377" s="8">
        <v>11.47</v>
      </c>
      <c r="M377" s="8">
        <v>908.71</v>
      </c>
      <c r="N377" s="8" t="s">
        <v>17</v>
      </c>
      <c r="O377" s="8" t="s">
        <v>18</v>
      </c>
      <c r="P377" s="9">
        <v>44994</v>
      </c>
      <c r="Q377" s="8" t="s">
        <v>12</v>
      </c>
      <c r="R377" s="10">
        <v>0</v>
      </c>
    </row>
    <row r="378" spans="1:18" x14ac:dyDescent="0.3">
      <c r="A378" s="7" t="s">
        <v>412</v>
      </c>
      <c r="B378" s="8" t="s">
        <v>47</v>
      </c>
      <c r="C378" s="8">
        <v>57</v>
      </c>
      <c r="D378" s="8" t="s">
        <v>31</v>
      </c>
      <c r="E378" s="8" t="s">
        <v>21</v>
      </c>
      <c r="F378" s="8">
        <v>111586</v>
      </c>
      <c r="G378" s="8" t="s">
        <v>15</v>
      </c>
      <c r="H378" s="8">
        <v>787</v>
      </c>
      <c r="I378" s="8" t="s">
        <v>40</v>
      </c>
      <c r="J378" s="8">
        <v>330800</v>
      </c>
      <c r="K378" s="8">
        <v>5</v>
      </c>
      <c r="L378" s="8">
        <v>11.82</v>
      </c>
      <c r="M378" s="8">
        <v>651.67999999999995</v>
      </c>
      <c r="N378" s="8" t="s">
        <v>42</v>
      </c>
      <c r="O378" s="8" t="s">
        <v>28</v>
      </c>
      <c r="P378" s="9">
        <v>45336</v>
      </c>
      <c r="Q378" s="8" t="s">
        <v>43</v>
      </c>
      <c r="R378" s="10">
        <v>0</v>
      </c>
    </row>
    <row r="379" spans="1:18" x14ac:dyDescent="0.3">
      <c r="A379" s="7" t="s">
        <v>413</v>
      </c>
      <c r="B379" s="8" t="s">
        <v>45</v>
      </c>
      <c r="C379" s="8">
        <v>56</v>
      </c>
      <c r="D379" s="8" t="s">
        <v>31</v>
      </c>
      <c r="E379" s="8" t="s">
        <v>21</v>
      </c>
      <c r="F379" s="8">
        <v>104848</v>
      </c>
      <c r="G379" s="8" t="s">
        <v>25</v>
      </c>
      <c r="H379" s="8">
        <v>793</v>
      </c>
      <c r="I379" s="8" t="s">
        <v>40</v>
      </c>
      <c r="J379" s="8">
        <v>744512</v>
      </c>
      <c r="K379" s="8">
        <v>10</v>
      </c>
      <c r="L379" s="8">
        <v>7.97</v>
      </c>
      <c r="M379" s="8">
        <v>494.48</v>
      </c>
      <c r="N379" s="8" t="s">
        <v>17</v>
      </c>
      <c r="O379" s="8" t="s">
        <v>28</v>
      </c>
      <c r="P379" s="9">
        <v>44733</v>
      </c>
      <c r="Q379" s="8" t="s">
        <v>12</v>
      </c>
      <c r="R379" s="10">
        <v>0</v>
      </c>
    </row>
    <row r="380" spans="1:18" x14ac:dyDescent="0.3">
      <c r="A380" s="7" t="s">
        <v>414</v>
      </c>
      <c r="B380" s="8" t="s">
        <v>5</v>
      </c>
      <c r="C380" s="8">
        <v>51</v>
      </c>
      <c r="D380" s="8" t="s">
        <v>31</v>
      </c>
      <c r="E380" s="8" t="s">
        <v>21</v>
      </c>
      <c r="F380" s="8">
        <v>85234</v>
      </c>
      <c r="G380" s="8" t="s">
        <v>8</v>
      </c>
      <c r="H380" s="8">
        <v>750</v>
      </c>
      <c r="I380" s="8" t="s">
        <v>40</v>
      </c>
      <c r="J380" s="8">
        <v>194973</v>
      </c>
      <c r="K380" s="8">
        <v>10</v>
      </c>
      <c r="L380" s="8">
        <v>9</v>
      </c>
      <c r="M380" s="8">
        <v>146.22999999999999</v>
      </c>
      <c r="N380" s="8" t="s">
        <v>8</v>
      </c>
      <c r="O380" s="8" t="s">
        <v>28</v>
      </c>
      <c r="P380" s="9">
        <v>45223</v>
      </c>
      <c r="Q380" s="8" t="s">
        <v>12</v>
      </c>
      <c r="R380" s="10">
        <v>0</v>
      </c>
    </row>
    <row r="381" spans="1:18" x14ac:dyDescent="0.3">
      <c r="A381" s="7" t="s">
        <v>415</v>
      </c>
      <c r="B381" s="8" t="s">
        <v>45</v>
      </c>
      <c r="C381" s="8">
        <v>34</v>
      </c>
      <c r="D381" s="8" t="s">
        <v>6</v>
      </c>
      <c r="E381" s="8" t="s">
        <v>7</v>
      </c>
      <c r="F381" s="8">
        <v>35288</v>
      </c>
      <c r="G381" s="8" t="s">
        <v>8</v>
      </c>
      <c r="H381" s="8">
        <v>726</v>
      </c>
      <c r="I381" s="8" t="s">
        <v>40</v>
      </c>
      <c r="J381" s="8">
        <v>1153127</v>
      </c>
      <c r="K381" s="8">
        <v>20</v>
      </c>
      <c r="L381" s="8">
        <v>8.68</v>
      </c>
      <c r="M381" s="8">
        <v>417.05</v>
      </c>
      <c r="N381" s="8" t="s">
        <v>10</v>
      </c>
      <c r="O381" s="8" t="s">
        <v>18</v>
      </c>
      <c r="P381" s="9">
        <v>45234</v>
      </c>
      <c r="Q381" s="8" t="s">
        <v>43</v>
      </c>
      <c r="R381" s="10">
        <v>0</v>
      </c>
    </row>
    <row r="382" spans="1:18" x14ac:dyDescent="0.3">
      <c r="A382" s="7" t="s">
        <v>416</v>
      </c>
      <c r="B382" s="8" t="s">
        <v>20</v>
      </c>
      <c r="C382" s="8">
        <v>30</v>
      </c>
      <c r="D382" s="8" t="s">
        <v>6</v>
      </c>
      <c r="E382" s="8" t="s">
        <v>7</v>
      </c>
      <c r="F382" s="8">
        <v>134654</v>
      </c>
      <c r="G382" s="8" t="s">
        <v>15</v>
      </c>
      <c r="H382" s="8">
        <v>317</v>
      </c>
      <c r="I382" s="8" t="s">
        <v>9</v>
      </c>
      <c r="J382" s="8">
        <v>558409</v>
      </c>
      <c r="K382" s="8">
        <v>20</v>
      </c>
      <c r="L382" s="8">
        <v>7.93</v>
      </c>
      <c r="M382" s="8">
        <v>184.51</v>
      </c>
      <c r="N382" s="8" t="s">
        <v>8</v>
      </c>
      <c r="O382" s="8" t="s">
        <v>22</v>
      </c>
      <c r="P382" s="9">
        <v>45276</v>
      </c>
      <c r="Q382" s="8" t="s">
        <v>12</v>
      </c>
      <c r="R382" s="10">
        <v>0</v>
      </c>
    </row>
    <row r="383" spans="1:18" x14ac:dyDescent="0.3">
      <c r="A383" s="7" t="s">
        <v>417</v>
      </c>
      <c r="B383" s="8" t="s">
        <v>20</v>
      </c>
      <c r="C383" s="8">
        <v>34</v>
      </c>
      <c r="D383" s="8" t="s">
        <v>6</v>
      </c>
      <c r="E383" s="8" t="s">
        <v>7</v>
      </c>
      <c r="F383" s="8">
        <v>24643</v>
      </c>
      <c r="G383" s="8" t="s">
        <v>8</v>
      </c>
      <c r="H383" s="8">
        <v>577</v>
      </c>
      <c r="I383" s="8" t="s">
        <v>16</v>
      </c>
      <c r="J383" s="8">
        <v>120064</v>
      </c>
      <c r="K383" s="8">
        <v>5</v>
      </c>
      <c r="L383" s="8">
        <v>8.0299999999999994</v>
      </c>
      <c r="M383" s="8">
        <v>160.69</v>
      </c>
      <c r="N383" s="8" t="s">
        <v>27</v>
      </c>
      <c r="O383" s="8" t="s">
        <v>28</v>
      </c>
      <c r="P383" s="9">
        <v>45330</v>
      </c>
      <c r="Q383" s="8" t="s">
        <v>12</v>
      </c>
      <c r="R383" s="10">
        <v>0</v>
      </c>
    </row>
    <row r="384" spans="1:18" x14ac:dyDescent="0.3">
      <c r="A384" s="7" t="s">
        <v>418</v>
      </c>
      <c r="B384" s="8" t="s">
        <v>52</v>
      </c>
      <c r="C384" s="8">
        <v>50</v>
      </c>
      <c r="D384" s="8" t="s">
        <v>31</v>
      </c>
      <c r="E384" s="8" t="s">
        <v>21</v>
      </c>
      <c r="F384" s="8">
        <v>71246</v>
      </c>
      <c r="G384" s="8" t="s">
        <v>25</v>
      </c>
      <c r="H384" s="8">
        <v>491</v>
      </c>
      <c r="I384" s="8" t="s">
        <v>9</v>
      </c>
      <c r="J384" s="8">
        <v>146200</v>
      </c>
      <c r="K384" s="8">
        <v>10</v>
      </c>
      <c r="L384" s="8">
        <v>10.46</v>
      </c>
      <c r="M384" s="8">
        <v>127.44</v>
      </c>
      <c r="N384" s="8" t="s">
        <v>10</v>
      </c>
      <c r="O384" s="8" t="s">
        <v>18</v>
      </c>
      <c r="P384" s="9">
        <v>44952</v>
      </c>
      <c r="Q384" s="8" t="s">
        <v>43</v>
      </c>
      <c r="R384" s="10">
        <v>0</v>
      </c>
    </row>
    <row r="385" spans="1:18" x14ac:dyDescent="0.3">
      <c r="A385" s="7" t="s">
        <v>419</v>
      </c>
      <c r="B385" s="8" t="s">
        <v>47</v>
      </c>
      <c r="C385" s="8">
        <v>39</v>
      </c>
      <c r="D385" s="8" t="s">
        <v>6</v>
      </c>
      <c r="E385" s="8" t="s">
        <v>7</v>
      </c>
      <c r="F385" s="8">
        <v>46641</v>
      </c>
      <c r="G385" s="8" t="s">
        <v>8</v>
      </c>
      <c r="H385" s="8">
        <v>626</v>
      </c>
      <c r="I385" s="8" t="s">
        <v>16</v>
      </c>
      <c r="J385" s="8">
        <v>207563</v>
      </c>
      <c r="K385" s="8">
        <v>5</v>
      </c>
      <c r="L385" s="8">
        <v>12.64</v>
      </c>
      <c r="M385" s="8">
        <v>437.27</v>
      </c>
      <c r="N385" s="8" t="s">
        <v>27</v>
      </c>
      <c r="O385" s="8" t="s">
        <v>28</v>
      </c>
      <c r="P385" s="9">
        <v>44732</v>
      </c>
      <c r="Q385" s="8" t="s">
        <v>43</v>
      </c>
      <c r="R385" s="10">
        <v>0</v>
      </c>
    </row>
    <row r="386" spans="1:18" x14ac:dyDescent="0.3">
      <c r="A386" s="7" t="s">
        <v>420</v>
      </c>
      <c r="B386" s="8" t="s">
        <v>14</v>
      </c>
      <c r="C386" s="8">
        <v>26</v>
      </c>
      <c r="D386" s="8" t="s">
        <v>34</v>
      </c>
      <c r="E386" s="8" t="s">
        <v>7</v>
      </c>
      <c r="F386" s="8">
        <v>133142</v>
      </c>
      <c r="G386" s="8" t="s">
        <v>8</v>
      </c>
      <c r="H386" s="8">
        <v>315</v>
      </c>
      <c r="I386" s="8" t="s">
        <v>9</v>
      </c>
      <c r="J386" s="8">
        <v>555940</v>
      </c>
      <c r="K386" s="8">
        <v>15</v>
      </c>
      <c r="L386" s="8">
        <v>12.32</v>
      </c>
      <c r="M386" s="8">
        <v>380.51</v>
      </c>
      <c r="N386" s="8" t="s">
        <v>8</v>
      </c>
      <c r="O386" s="8" t="s">
        <v>11</v>
      </c>
      <c r="P386" s="9">
        <v>45271</v>
      </c>
      <c r="Q386" s="8" t="s">
        <v>29</v>
      </c>
      <c r="R386" s="10">
        <v>1</v>
      </c>
    </row>
    <row r="387" spans="1:18" x14ac:dyDescent="0.3">
      <c r="A387" s="7" t="s">
        <v>421</v>
      </c>
      <c r="B387" s="8" t="s">
        <v>33</v>
      </c>
      <c r="C387" s="8">
        <v>43</v>
      </c>
      <c r="D387" s="8" t="s">
        <v>6</v>
      </c>
      <c r="E387" s="8" t="s">
        <v>7</v>
      </c>
      <c r="F387" s="8">
        <v>103253</v>
      </c>
      <c r="G387" s="8" t="s">
        <v>8</v>
      </c>
      <c r="H387" s="8">
        <v>437</v>
      </c>
      <c r="I387" s="8" t="s">
        <v>9</v>
      </c>
      <c r="J387" s="8">
        <v>1095344</v>
      </c>
      <c r="K387" s="8">
        <v>15</v>
      </c>
      <c r="L387" s="8">
        <v>7.86</v>
      </c>
      <c r="M387" s="8">
        <v>478.3</v>
      </c>
      <c r="N387" s="8" t="s">
        <v>8</v>
      </c>
      <c r="O387" s="8" t="s">
        <v>28</v>
      </c>
      <c r="P387" s="9">
        <v>45253</v>
      </c>
      <c r="Q387" s="8" t="s">
        <v>12</v>
      </c>
      <c r="R387" s="10">
        <v>0</v>
      </c>
    </row>
    <row r="388" spans="1:18" x14ac:dyDescent="0.3">
      <c r="A388" s="7" t="s">
        <v>422</v>
      </c>
      <c r="B388" s="8" t="s">
        <v>14</v>
      </c>
      <c r="C388" s="8">
        <v>38</v>
      </c>
      <c r="D388" s="8" t="s">
        <v>6</v>
      </c>
      <c r="E388" s="8" t="s">
        <v>7</v>
      </c>
      <c r="F388" s="8">
        <v>127194</v>
      </c>
      <c r="G388" s="8" t="s">
        <v>8</v>
      </c>
      <c r="H388" s="8">
        <v>610</v>
      </c>
      <c r="I388" s="8" t="s">
        <v>16</v>
      </c>
      <c r="J388" s="8">
        <v>1031517</v>
      </c>
      <c r="K388" s="8">
        <v>20</v>
      </c>
      <c r="L388" s="8">
        <v>8.31</v>
      </c>
      <c r="M388" s="8">
        <v>357.16</v>
      </c>
      <c r="N388" s="8" t="s">
        <v>27</v>
      </c>
      <c r="O388" s="8" t="s">
        <v>22</v>
      </c>
      <c r="P388" s="9">
        <v>44714</v>
      </c>
      <c r="Q388" s="8" t="s">
        <v>43</v>
      </c>
      <c r="R388" s="10">
        <v>0</v>
      </c>
    </row>
    <row r="389" spans="1:18" x14ac:dyDescent="0.3">
      <c r="A389" s="7" t="s">
        <v>423</v>
      </c>
      <c r="B389" s="8" t="s">
        <v>47</v>
      </c>
      <c r="C389" s="8">
        <v>27</v>
      </c>
      <c r="D389" s="8" t="s">
        <v>34</v>
      </c>
      <c r="E389" s="8" t="s">
        <v>21</v>
      </c>
      <c r="F389" s="8">
        <v>44077</v>
      </c>
      <c r="G389" s="8" t="s">
        <v>15</v>
      </c>
      <c r="H389" s="8">
        <v>518</v>
      </c>
      <c r="I389" s="8" t="s">
        <v>9</v>
      </c>
      <c r="J389" s="8">
        <v>1275060</v>
      </c>
      <c r="K389" s="8">
        <v>5</v>
      </c>
      <c r="L389" s="8">
        <v>7.99</v>
      </c>
      <c r="M389" s="8">
        <v>1697.95</v>
      </c>
      <c r="N389" s="8" t="s">
        <v>42</v>
      </c>
      <c r="O389" s="8" t="s">
        <v>11</v>
      </c>
      <c r="P389" s="9">
        <v>44706</v>
      </c>
      <c r="Q389" s="8" t="s">
        <v>12</v>
      </c>
      <c r="R389" s="10">
        <v>0</v>
      </c>
    </row>
    <row r="390" spans="1:18" x14ac:dyDescent="0.3">
      <c r="A390" s="7" t="s">
        <v>424</v>
      </c>
      <c r="B390" s="8" t="s">
        <v>47</v>
      </c>
      <c r="C390" s="8">
        <v>52</v>
      </c>
      <c r="D390" s="8" t="s">
        <v>31</v>
      </c>
      <c r="E390" s="8" t="s">
        <v>21</v>
      </c>
      <c r="F390" s="8">
        <v>123897</v>
      </c>
      <c r="G390" s="8" t="s">
        <v>15</v>
      </c>
      <c r="H390" s="8">
        <v>386</v>
      </c>
      <c r="I390" s="8" t="s">
        <v>9</v>
      </c>
      <c r="J390" s="8">
        <v>350192</v>
      </c>
      <c r="K390" s="8">
        <v>20</v>
      </c>
      <c r="L390" s="8">
        <v>10.3</v>
      </c>
      <c r="M390" s="8">
        <v>150.29</v>
      </c>
      <c r="N390" s="8" t="s">
        <v>10</v>
      </c>
      <c r="O390" s="8" t="s">
        <v>18</v>
      </c>
      <c r="P390" s="9">
        <v>44784</v>
      </c>
      <c r="Q390" s="8" t="s">
        <v>12</v>
      </c>
      <c r="R390" s="10">
        <v>0</v>
      </c>
    </row>
    <row r="391" spans="1:18" x14ac:dyDescent="0.3">
      <c r="A391" s="7" t="s">
        <v>425</v>
      </c>
      <c r="B391" s="8" t="s">
        <v>47</v>
      </c>
      <c r="C391" s="8">
        <v>41</v>
      </c>
      <c r="D391" s="8" t="s">
        <v>6</v>
      </c>
      <c r="E391" s="8" t="s">
        <v>7</v>
      </c>
      <c r="F391" s="8">
        <v>91055</v>
      </c>
      <c r="G391" s="8" t="s">
        <v>8</v>
      </c>
      <c r="H391" s="8">
        <v>445</v>
      </c>
      <c r="I391" s="8" t="s">
        <v>9</v>
      </c>
      <c r="J391" s="8">
        <v>1305250</v>
      </c>
      <c r="K391" s="8">
        <v>15</v>
      </c>
      <c r="L391" s="8">
        <v>8.66</v>
      </c>
      <c r="M391" s="8">
        <v>627.97</v>
      </c>
      <c r="N391" s="8" t="s">
        <v>10</v>
      </c>
      <c r="O391" s="8" t="s">
        <v>18</v>
      </c>
      <c r="P391" s="9">
        <v>44665</v>
      </c>
      <c r="Q391" s="8" t="s">
        <v>43</v>
      </c>
      <c r="R391" s="10">
        <v>0</v>
      </c>
    </row>
    <row r="392" spans="1:18" x14ac:dyDescent="0.3">
      <c r="A392" s="7" t="s">
        <v>426</v>
      </c>
      <c r="B392" s="8" t="s">
        <v>33</v>
      </c>
      <c r="C392" s="8">
        <v>41</v>
      </c>
      <c r="D392" s="8" t="s">
        <v>6</v>
      </c>
      <c r="E392" s="8" t="s">
        <v>7</v>
      </c>
      <c r="F392" s="8">
        <v>69967</v>
      </c>
      <c r="G392" s="8" t="s">
        <v>15</v>
      </c>
      <c r="H392" s="8">
        <v>447</v>
      </c>
      <c r="I392" s="8" t="s">
        <v>9</v>
      </c>
      <c r="J392" s="8">
        <v>1325221</v>
      </c>
      <c r="K392" s="8">
        <v>10</v>
      </c>
      <c r="L392" s="8">
        <v>13.49</v>
      </c>
      <c r="M392" s="8">
        <v>1489.77</v>
      </c>
      <c r="N392" s="8" t="s">
        <v>8</v>
      </c>
      <c r="O392" s="8" t="s">
        <v>22</v>
      </c>
      <c r="P392" s="9">
        <v>44912</v>
      </c>
      <c r="Q392" s="8" t="s">
        <v>12</v>
      </c>
      <c r="R392" s="10">
        <v>0</v>
      </c>
    </row>
    <row r="393" spans="1:18" x14ac:dyDescent="0.3">
      <c r="A393" s="7" t="s">
        <v>427</v>
      </c>
      <c r="B393" s="8" t="s">
        <v>39</v>
      </c>
      <c r="C393" s="8">
        <v>34</v>
      </c>
      <c r="D393" s="8" t="s">
        <v>6</v>
      </c>
      <c r="E393" s="8" t="s">
        <v>21</v>
      </c>
      <c r="F393" s="8">
        <v>128237</v>
      </c>
      <c r="G393" s="8" t="s">
        <v>15</v>
      </c>
      <c r="H393" s="8">
        <v>791</v>
      </c>
      <c r="I393" s="8" t="s">
        <v>40</v>
      </c>
      <c r="J393" s="8">
        <v>658755</v>
      </c>
      <c r="K393" s="8">
        <v>10</v>
      </c>
      <c r="L393" s="8">
        <v>7.52</v>
      </c>
      <c r="M393" s="8">
        <v>412.82</v>
      </c>
      <c r="N393" s="8" t="s">
        <v>17</v>
      </c>
      <c r="O393" s="8" t="s">
        <v>22</v>
      </c>
      <c r="P393" s="9">
        <v>44971</v>
      </c>
      <c r="Q393" s="8" t="s">
        <v>29</v>
      </c>
      <c r="R393" s="10">
        <v>1</v>
      </c>
    </row>
    <row r="394" spans="1:18" x14ac:dyDescent="0.3">
      <c r="A394" s="7" t="s">
        <v>428</v>
      </c>
      <c r="B394" s="8" t="s">
        <v>36</v>
      </c>
      <c r="C394" s="8">
        <v>48</v>
      </c>
      <c r="D394" s="8" t="s">
        <v>31</v>
      </c>
      <c r="E394" s="8" t="s">
        <v>21</v>
      </c>
      <c r="F394" s="8">
        <v>107921</v>
      </c>
      <c r="G394" s="8" t="s">
        <v>15</v>
      </c>
      <c r="H394" s="8">
        <v>703</v>
      </c>
      <c r="I394" s="8" t="s">
        <v>40</v>
      </c>
      <c r="J394" s="8">
        <v>1898222</v>
      </c>
      <c r="K394" s="8">
        <v>20</v>
      </c>
      <c r="L394" s="8">
        <v>14.03</v>
      </c>
      <c r="M394" s="8">
        <v>1109.67</v>
      </c>
      <c r="N394" s="8" t="s">
        <v>10</v>
      </c>
      <c r="O394" s="8" t="s">
        <v>28</v>
      </c>
      <c r="P394" s="9">
        <v>44964</v>
      </c>
      <c r="Q394" s="8" t="s">
        <v>29</v>
      </c>
      <c r="R394" s="10">
        <v>1</v>
      </c>
    </row>
    <row r="395" spans="1:18" x14ac:dyDescent="0.3">
      <c r="A395" s="7" t="s">
        <v>429</v>
      </c>
      <c r="B395" s="8" t="s">
        <v>45</v>
      </c>
      <c r="C395" s="8">
        <v>64</v>
      </c>
      <c r="D395" s="8" t="s">
        <v>31</v>
      </c>
      <c r="E395" s="8" t="s">
        <v>7</v>
      </c>
      <c r="F395" s="8">
        <v>86771</v>
      </c>
      <c r="G395" s="8" t="s">
        <v>15</v>
      </c>
      <c r="H395" s="8">
        <v>546</v>
      </c>
      <c r="I395" s="8" t="s">
        <v>9</v>
      </c>
      <c r="J395" s="8">
        <v>1911907</v>
      </c>
      <c r="K395" s="8">
        <v>15</v>
      </c>
      <c r="L395" s="8">
        <v>9.0500000000000007</v>
      </c>
      <c r="M395" s="8">
        <v>961.26</v>
      </c>
      <c r="N395" s="8" t="s">
        <v>42</v>
      </c>
      <c r="O395" s="8" t="s">
        <v>11</v>
      </c>
      <c r="P395" s="9">
        <v>45344</v>
      </c>
      <c r="Q395" s="8" t="s">
        <v>29</v>
      </c>
      <c r="R395" s="10">
        <v>1</v>
      </c>
    </row>
    <row r="396" spans="1:18" x14ac:dyDescent="0.3">
      <c r="A396" s="7" t="s">
        <v>430</v>
      </c>
      <c r="B396" s="8" t="s">
        <v>36</v>
      </c>
      <c r="C396" s="8">
        <v>56</v>
      </c>
      <c r="D396" s="8" t="s">
        <v>31</v>
      </c>
      <c r="E396" s="8" t="s">
        <v>21</v>
      </c>
      <c r="F396" s="8">
        <v>60454</v>
      </c>
      <c r="G396" s="8" t="s">
        <v>25</v>
      </c>
      <c r="H396" s="8">
        <v>544</v>
      </c>
      <c r="I396" s="8" t="s">
        <v>9</v>
      </c>
      <c r="J396" s="8">
        <v>1480784</v>
      </c>
      <c r="K396" s="8">
        <v>15</v>
      </c>
      <c r="L396" s="8">
        <v>14.29</v>
      </c>
      <c r="M396" s="8">
        <v>1175.58</v>
      </c>
      <c r="N396" s="8" t="s">
        <v>27</v>
      </c>
      <c r="O396" s="8" t="s">
        <v>18</v>
      </c>
      <c r="P396" s="9">
        <v>45231</v>
      </c>
      <c r="Q396" s="8" t="s">
        <v>29</v>
      </c>
      <c r="R396" s="10">
        <v>1</v>
      </c>
    </row>
    <row r="397" spans="1:18" x14ac:dyDescent="0.3">
      <c r="A397" s="7" t="s">
        <v>431</v>
      </c>
      <c r="B397" s="8" t="s">
        <v>45</v>
      </c>
      <c r="C397" s="8">
        <v>65</v>
      </c>
      <c r="D397" s="8" t="s">
        <v>31</v>
      </c>
      <c r="E397" s="8" t="s">
        <v>21</v>
      </c>
      <c r="F397" s="8">
        <v>112534</v>
      </c>
      <c r="G397" s="8" t="s">
        <v>15</v>
      </c>
      <c r="H397" s="8">
        <v>471</v>
      </c>
      <c r="I397" s="8" t="s">
        <v>9</v>
      </c>
      <c r="J397" s="8">
        <v>471110</v>
      </c>
      <c r="K397" s="8">
        <v>10</v>
      </c>
      <c r="L397" s="8">
        <v>9.42</v>
      </c>
      <c r="M397" s="8">
        <v>369.82</v>
      </c>
      <c r="N397" s="8" t="s">
        <v>42</v>
      </c>
      <c r="O397" s="8" t="s">
        <v>18</v>
      </c>
      <c r="P397" s="9">
        <v>45360</v>
      </c>
      <c r="Q397" s="8" t="s">
        <v>12</v>
      </c>
      <c r="R397" s="10">
        <v>0</v>
      </c>
    </row>
    <row r="398" spans="1:18" x14ac:dyDescent="0.3">
      <c r="A398" s="7" t="s">
        <v>432</v>
      </c>
      <c r="B398" s="8" t="s">
        <v>14</v>
      </c>
      <c r="C398" s="8">
        <v>31</v>
      </c>
      <c r="D398" s="8" t="s">
        <v>6</v>
      </c>
      <c r="E398" s="8" t="s">
        <v>7</v>
      </c>
      <c r="F398" s="8">
        <v>28181</v>
      </c>
      <c r="G398" s="8" t="s">
        <v>15</v>
      </c>
      <c r="H398" s="8">
        <v>451</v>
      </c>
      <c r="I398" s="8" t="s">
        <v>9</v>
      </c>
      <c r="J398" s="8">
        <v>1197215</v>
      </c>
      <c r="K398" s="8">
        <v>10</v>
      </c>
      <c r="L398" s="8">
        <v>9.3699999999999992</v>
      </c>
      <c r="M398" s="8">
        <v>934.83</v>
      </c>
      <c r="N398" s="8" t="s">
        <v>27</v>
      </c>
      <c r="O398" s="8" t="s">
        <v>11</v>
      </c>
      <c r="P398" s="9">
        <v>44824</v>
      </c>
      <c r="Q398" s="8" t="s">
        <v>12</v>
      </c>
      <c r="R398" s="10">
        <v>0</v>
      </c>
    </row>
    <row r="399" spans="1:18" x14ac:dyDescent="0.3">
      <c r="A399" s="7" t="s">
        <v>433</v>
      </c>
      <c r="B399" s="8" t="s">
        <v>52</v>
      </c>
      <c r="C399" s="8">
        <v>34</v>
      </c>
      <c r="D399" s="8" t="s">
        <v>6</v>
      </c>
      <c r="E399" s="8" t="s">
        <v>7</v>
      </c>
      <c r="F399" s="8">
        <v>33395</v>
      </c>
      <c r="G399" s="8" t="s">
        <v>25</v>
      </c>
      <c r="H399" s="8">
        <v>423</v>
      </c>
      <c r="I399" s="8" t="s">
        <v>9</v>
      </c>
      <c r="J399" s="8">
        <v>1173190</v>
      </c>
      <c r="K399" s="8">
        <v>15</v>
      </c>
      <c r="L399" s="8">
        <v>11.15</v>
      </c>
      <c r="M399" s="8">
        <v>726.73</v>
      </c>
      <c r="N399" s="8" t="s">
        <v>42</v>
      </c>
      <c r="O399" s="8" t="s">
        <v>28</v>
      </c>
      <c r="P399" s="9">
        <v>44803</v>
      </c>
      <c r="Q399" s="8" t="s">
        <v>12</v>
      </c>
      <c r="R399" s="10">
        <v>0</v>
      </c>
    </row>
    <row r="400" spans="1:18" x14ac:dyDescent="0.3">
      <c r="A400" s="7" t="s">
        <v>434</v>
      </c>
      <c r="B400" s="8" t="s">
        <v>20</v>
      </c>
      <c r="C400" s="8">
        <v>24</v>
      </c>
      <c r="D400" s="8" t="s">
        <v>34</v>
      </c>
      <c r="E400" s="8" t="s">
        <v>21</v>
      </c>
      <c r="F400" s="8">
        <v>121862</v>
      </c>
      <c r="G400" s="8" t="s">
        <v>15</v>
      </c>
      <c r="H400" s="8">
        <v>437</v>
      </c>
      <c r="I400" s="8" t="s">
        <v>9</v>
      </c>
      <c r="J400" s="8">
        <v>797931</v>
      </c>
      <c r="K400" s="8">
        <v>5</v>
      </c>
      <c r="L400" s="8">
        <v>8.76</v>
      </c>
      <c r="M400" s="8">
        <v>1164.98</v>
      </c>
      <c r="N400" s="8" t="s">
        <v>10</v>
      </c>
      <c r="O400" s="8" t="s">
        <v>28</v>
      </c>
      <c r="P400" s="9">
        <v>44821</v>
      </c>
      <c r="Q400" s="8" t="s">
        <v>12</v>
      </c>
      <c r="R400" s="10">
        <v>0</v>
      </c>
    </row>
    <row r="401" spans="1:18" x14ac:dyDescent="0.3">
      <c r="A401" s="7" t="s">
        <v>435</v>
      </c>
      <c r="B401" s="8" t="s">
        <v>14</v>
      </c>
      <c r="C401" s="8">
        <v>23</v>
      </c>
      <c r="D401" s="8" t="s">
        <v>34</v>
      </c>
      <c r="E401" s="8" t="s">
        <v>7</v>
      </c>
      <c r="F401" s="8">
        <v>65827</v>
      </c>
      <c r="G401" s="8" t="s">
        <v>15</v>
      </c>
      <c r="H401" s="8">
        <v>641</v>
      </c>
      <c r="I401" s="8" t="s">
        <v>16</v>
      </c>
      <c r="J401" s="8">
        <v>1625171</v>
      </c>
      <c r="K401" s="8">
        <v>10</v>
      </c>
      <c r="L401" s="8">
        <v>14.69</v>
      </c>
      <c r="M401" s="8">
        <v>1989.48</v>
      </c>
      <c r="N401" s="8" t="s">
        <v>17</v>
      </c>
      <c r="O401" s="8" t="s">
        <v>18</v>
      </c>
      <c r="P401" s="9">
        <v>44906</v>
      </c>
      <c r="Q401" s="8" t="s">
        <v>43</v>
      </c>
      <c r="R401" s="10">
        <v>0</v>
      </c>
    </row>
    <row r="402" spans="1:18" x14ac:dyDescent="0.3">
      <c r="A402" s="7" t="s">
        <v>436</v>
      </c>
      <c r="B402" s="8" t="s">
        <v>36</v>
      </c>
      <c r="C402" s="8">
        <v>36</v>
      </c>
      <c r="D402" s="8" t="s">
        <v>6</v>
      </c>
      <c r="E402" s="8" t="s">
        <v>7</v>
      </c>
      <c r="F402" s="8">
        <v>28564</v>
      </c>
      <c r="G402" s="8" t="s">
        <v>8</v>
      </c>
      <c r="H402" s="8">
        <v>517</v>
      </c>
      <c r="I402" s="8" t="s">
        <v>9</v>
      </c>
      <c r="J402" s="8">
        <v>756441</v>
      </c>
      <c r="K402" s="8">
        <v>15</v>
      </c>
      <c r="L402" s="8">
        <v>11.35</v>
      </c>
      <c r="M402" s="8">
        <v>476.98</v>
      </c>
      <c r="N402" s="8" t="s">
        <v>8</v>
      </c>
      <c r="O402" s="8" t="s">
        <v>11</v>
      </c>
      <c r="P402" s="9">
        <v>45167</v>
      </c>
      <c r="Q402" s="8" t="s">
        <v>12</v>
      </c>
      <c r="R402" s="10">
        <v>0</v>
      </c>
    </row>
    <row r="403" spans="1:18" x14ac:dyDescent="0.3">
      <c r="A403" s="7" t="s">
        <v>437</v>
      </c>
      <c r="B403" s="8" t="s">
        <v>39</v>
      </c>
      <c r="C403" s="8">
        <v>40</v>
      </c>
      <c r="D403" s="8" t="s">
        <v>6</v>
      </c>
      <c r="E403" s="8" t="s">
        <v>21</v>
      </c>
      <c r="F403" s="8">
        <v>137916</v>
      </c>
      <c r="G403" s="8" t="s">
        <v>25</v>
      </c>
      <c r="H403" s="8">
        <v>542</v>
      </c>
      <c r="I403" s="8" t="s">
        <v>9</v>
      </c>
      <c r="J403" s="8">
        <v>1358329</v>
      </c>
      <c r="K403" s="8">
        <v>20</v>
      </c>
      <c r="L403" s="8">
        <v>10.58</v>
      </c>
      <c r="M403" s="8">
        <v>598.79999999999995</v>
      </c>
      <c r="N403" s="8" t="s">
        <v>42</v>
      </c>
      <c r="O403" s="8" t="s">
        <v>28</v>
      </c>
      <c r="P403" s="9">
        <v>45454</v>
      </c>
      <c r="Q403" s="8" t="s">
        <v>12</v>
      </c>
      <c r="R403" s="10">
        <v>0</v>
      </c>
    </row>
    <row r="404" spans="1:18" x14ac:dyDescent="0.3">
      <c r="A404" s="7" t="s">
        <v>438</v>
      </c>
      <c r="B404" s="8" t="s">
        <v>39</v>
      </c>
      <c r="C404" s="8">
        <v>45</v>
      </c>
      <c r="D404" s="8" t="s">
        <v>6</v>
      </c>
      <c r="E404" s="8" t="s">
        <v>7</v>
      </c>
      <c r="F404" s="8">
        <v>60221</v>
      </c>
      <c r="G404" s="8" t="s">
        <v>25</v>
      </c>
      <c r="H404" s="8">
        <v>748</v>
      </c>
      <c r="I404" s="8" t="s">
        <v>40</v>
      </c>
      <c r="J404" s="8">
        <v>412473</v>
      </c>
      <c r="K404" s="8">
        <v>20</v>
      </c>
      <c r="L404" s="8">
        <v>9.85</v>
      </c>
      <c r="M404" s="8">
        <v>169.29</v>
      </c>
      <c r="N404" s="8" t="s">
        <v>27</v>
      </c>
      <c r="O404" s="8" t="s">
        <v>11</v>
      </c>
      <c r="P404" s="9">
        <v>45343</v>
      </c>
      <c r="Q404" s="8" t="s">
        <v>12</v>
      </c>
      <c r="R404" s="10">
        <v>0</v>
      </c>
    </row>
    <row r="405" spans="1:18" x14ac:dyDescent="0.3">
      <c r="A405" s="7" t="s">
        <v>439</v>
      </c>
      <c r="B405" s="8" t="s">
        <v>14</v>
      </c>
      <c r="C405" s="8">
        <v>46</v>
      </c>
      <c r="D405" s="8" t="s">
        <v>31</v>
      </c>
      <c r="E405" s="8" t="s">
        <v>7</v>
      </c>
      <c r="F405" s="8">
        <v>73614</v>
      </c>
      <c r="G405" s="8" t="s">
        <v>8</v>
      </c>
      <c r="H405" s="8">
        <v>361</v>
      </c>
      <c r="I405" s="8" t="s">
        <v>9</v>
      </c>
      <c r="J405" s="8">
        <v>1239403</v>
      </c>
      <c r="K405" s="8">
        <v>20</v>
      </c>
      <c r="L405" s="8">
        <v>12.57</v>
      </c>
      <c r="M405" s="8">
        <v>649.14</v>
      </c>
      <c r="N405" s="8" t="s">
        <v>8</v>
      </c>
      <c r="O405" s="8" t="s">
        <v>28</v>
      </c>
      <c r="P405" s="9">
        <v>45422</v>
      </c>
      <c r="Q405" s="8" t="s">
        <v>12</v>
      </c>
      <c r="R405" s="10">
        <v>0</v>
      </c>
    </row>
    <row r="406" spans="1:18" x14ac:dyDescent="0.3">
      <c r="A406" s="7" t="s">
        <v>440</v>
      </c>
      <c r="B406" s="8" t="s">
        <v>45</v>
      </c>
      <c r="C406" s="8">
        <v>33</v>
      </c>
      <c r="D406" s="8" t="s">
        <v>6</v>
      </c>
      <c r="E406" s="8" t="s">
        <v>21</v>
      </c>
      <c r="F406" s="8">
        <v>112408</v>
      </c>
      <c r="G406" s="8" t="s">
        <v>8</v>
      </c>
      <c r="H406" s="8">
        <v>772</v>
      </c>
      <c r="I406" s="8" t="s">
        <v>40</v>
      </c>
      <c r="J406" s="8">
        <v>428949</v>
      </c>
      <c r="K406" s="8">
        <v>10</v>
      </c>
      <c r="L406" s="8">
        <v>12.38</v>
      </c>
      <c r="M406" s="8">
        <v>442.53</v>
      </c>
      <c r="N406" s="8" t="s">
        <v>27</v>
      </c>
      <c r="O406" s="8" t="s">
        <v>28</v>
      </c>
      <c r="P406" s="9">
        <v>45324</v>
      </c>
      <c r="Q406" s="8" t="s">
        <v>43</v>
      </c>
      <c r="R406" s="10">
        <v>0</v>
      </c>
    </row>
    <row r="407" spans="1:18" x14ac:dyDescent="0.3">
      <c r="A407" s="7" t="s">
        <v>441</v>
      </c>
      <c r="B407" s="8" t="s">
        <v>36</v>
      </c>
      <c r="C407" s="8">
        <v>30</v>
      </c>
      <c r="D407" s="8" t="s">
        <v>6</v>
      </c>
      <c r="E407" s="8" t="s">
        <v>21</v>
      </c>
      <c r="F407" s="8">
        <v>34944</v>
      </c>
      <c r="G407" s="8" t="s">
        <v>25</v>
      </c>
      <c r="H407" s="8">
        <v>435</v>
      </c>
      <c r="I407" s="8" t="s">
        <v>9</v>
      </c>
      <c r="J407" s="8">
        <v>308643</v>
      </c>
      <c r="K407" s="8">
        <v>20</v>
      </c>
      <c r="L407" s="8">
        <v>12.55</v>
      </c>
      <c r="M407" s="8">
        <v>161.38999999999999</v>
      </c>
      <c r="N407" s="8" t="s">
        <v>27</v>
      </c>
      <c r="O407" s="8" t="s">
        <v>18</v>
      </c>
      <c r="P407" s="9">
        <v>44655</v>
      </c>
      <c r="Q407" s="8" t="s">
        <v>12</v>
      </c>
      <c r="R407" s="10">
        <v>0</v>
      </c>
    </row>
    <row r="408" spans="1:18" x14ac:dyDescent="0.3">
      <c r="A408" s="7" t="s">
        <v>442</v>
      </c>
      <c r="B408" s="8" t="s">
        <v>39</v>
      </c>
      <c r="C408" s="8">
        <v>54</v>
      </c>
      <c r="D408" s="8" t="s">
        <v>31</v>
      </c>
      <c r="E408" s="8" t="s">
        <v>21</v>
      </c>
      <c r="F408" s="8">
        <v>84589</v>
      </c>
      <c r="G408" s="8" t="s">
        <v>15</v>
      </c>
      <c r="H408" s="8">
        <v>499</v>
      </c>
      <c r="I408" s="8" t="s">
        <v>9</v>
      </c>
      <c r="J408" s="8">
        <v>1472629</v>
      </c>
      <c r="K408" s="8">
        <v>10</v>
      </c>
      <c r="L408" s="8">
        <v>13.22</v>
      </c>
      <c r="M408" s="8">
        <v>1622.35</v>
      </c>
      <c r="N408" s="8" t="s">
        <v>17</v>
      </c>
      <c r="O408" s="8" t="s">
        <v>18</v>
      </c>
      <c r="P408" s="9">
        <v>45302</v>
      </c>
      <c r="Q408" s="8" t="s">
        <v>12</v>
      </c>
      <c r="R408" s="10">
        <v>0</v>
      </c>
    </row>
    <row r="409" spans="1:18" x14ac:dyDescent="0.3">
      <c r="A409" s="7" t="s">
        <v>443</v>
      </c>
      <c r="B409" s="8" t="s">
        <v>14</v>
      </c>
      <c r="C409" s="8">
        <v>43</v>
      </c>
      <c r="D409" s="8" t="s">
        <v>6</v>
      </c>
      <c r="E409" s="8" t="s">
        <v>21</v>
      </c>
      <c r="F409" s="8">
        <v>22465</v>
      </c>
      <c r="G409" s="8" t="s">
        <v>25</v>
      </c>
      <c r="H409" s="8">
        <v>738</v>
      </c>
      <c r="I409" s="8" t="s">
        <v>40</v>
      </c>
      <c r="J409" s="8">
        <v>1399447</v>
      </c>
      <c r="K409" s="8">
        <v>5</v>
      </c>
      <c r="L409" s="8">
        <v>9.1199999999999992</v>
      </c>
      <c r="M409" s="8">
        <v>2127.16</v>
      </c>
      <c r="N409" s="8" t="s">
        <v>27</v>
      </c>
      <c r="O409" s="8" t="s">
        <v>28</v>
      </c>
      <c r="P409" s="9">
        <v>45367</v>
      </c>
      <c r="Q409" s="8" t="s">
        <v>29</v>
      </c>
      <c r="R409" s="10">
        <v>1</v>
      </c>
    </row>
    <row r="410" spans="1:18" x14ac:dyDescent="0.3">
      <c r="A410" s="7" t="s">
        <v>444</v>
      </c>
      <c r="B410" s="8" t="s">
        <v>5</v>
      </c>
      <c r="C410" s="8">
        <v>59</v>
      </c>
      <c r="D410" s="8" t="s">
        <v>31</v>
      </c>
      <c r="E410" s="8" t="s">
        <v>7</v>
      </c>
      <c r="F410" s="8">
        <v>135336</v>
      </c>
      <c r="G410" s="8" t="s">
        <v>25</v>
      </c>
      <c r="H410" s="8">
        <v>540</v>
      </c>
      <c r="I410" s="8" t="s">
        <v>9</v>
      </c>
      <c r="J410" s="8">
        <v>1913869</v>
      </c>
      <c r="K410" s="8">
        <v>5</v>
      </c>
      <c r="L410" s="8">
        <v>12.45</v>
      </c>
      <c r="M410" s="8">
        <v>3971.28</v>
      </c>
      <c r="N410" s="8" t="s">
        <v>27</v>
      </c>
      <c r="O410" s="8" t="s">
        <v>22</v>
      </c>
      <c r="P410" s="9">
        <v>45333</v>
      </c>
      <c r="Q410" s="8" t="s">
        <v>12</v>
      </c>
      <c r="R410" s="10">
        <v>0</v>
      </c>
    </row>
    <row r="411" spans="1:18" x14ac:dyDescent="0.3">
      <c r="A411" s="7" t="s">
        <v>445</v>
      </c>
      <c r="B411" s="8" t="s">
        <v>14</v>
      </c>
      <c r="C411" s="8">
        <v>29</v>
      </c>
      <c r="D411" s="8" t="s">
        <v>34</v>
      </c>
      <c r="E411" s="8" t="s">
        <v>7</v>
      </c>
      <c r="F411" s="8">
        <v>106038</v>
      </c>
      <c r="G411" s="8" t="s">
        <v>15</v>
      </c>
      <c r="H411" s="8">
        <v>600</v>
      </c>
      <c r="I411" s="8" t="s">
        <v>16</v>
      </c>
      <c r="J411" s="8">
        <v>1839148</v>
      </c>
      <c r="K411" s="8">
        <v>20</v>
      </c>
      <c r="L411" s="8">
        <v>7.28</v>
      </c>
      <c r="M411" s="8">
        <v>557.87</v>
      </c>
      <c r="N411" s="8" t="s">
        <v>10</v>
      </c>
      <c r="O411" s="8" t="s">
        <v>22</v>
      </c>
      <c r="P411" s="9">
        <v>44746</v>
      </c>
      <c r="Q411" s="8" t="s">
        <v>12</v>
      </c>
      <c r="R411" s="10">
        <v>0</v>
      </c>
    </row>
    <row r="412" spans="1:18" x14ac:dyDescent="0.3">
      <c r="A412" s="7" t="s">
        <v>446</v>
      </c>
      <c r="B412" s="8" t="s">
        <v>24</v>
      </c>
      <c r="C412" s="8">
        <v>33</v>
      </c>
      <c r="D412" s="8" t="s">
        <v>6</v>
      </c>
      <c r="E412" s="8" t="s">
        <v>21</v>
      </c>
      <c r="F412" s="8">
        <v>134512</v>
      </c>
      <c r="G412" s="8" t="s">
        <v>8</v>
      </c>
      <c r="H412" s="8">
        <v>408</v>
      </c>
      <c r="I412" s="8" t="s">
        <v>9</v>
      </c>
      <c r="J412" s="8">
        <v>1418215</v>
      </c>
      <c r="K412" s="8">
        <v>10</v>
      </c>
      <c r="L412" s="8">
        <v>11.7</v>
      </c>
      <c r="M412" s="8">
        <v>1382.76</v>
      </c>
      <c r="N412" s="8" t="s">
        <v>8</v>
      </c>
      <c r="O412" s="8" t="s">
        <v>22</v>
      </c>
      <c r="P412" s="9">
        <v>45342</v>
      </c>
      <c r="Q412" s="8" t="s">
        <v>12</v>
      </c>
      <c r="R412" s="10">
        <v>0</v>
      </c>
    </row>
    <row r="413" spans="1:18" x14ac:dyDescent="0.3">
      <c r="A413" s="7" t="s">
        <v>447</v>
      </c>
      <c r="B413" s="8" t="s">
        <v>14</v>
      </c>
      <c r="C413" s="8">
        <v>53</v>
      </c>
      <c r="D413" s="8" t="s">
        <v>31</v>
      </c>
      <c r="E413" s="8" t="s">
        <v>7</v>
      </c>
      <c r="F413" s="8">
        <v>110500</v>
      </c>
      <c r="G413" s="8" t="s">
        <v>25</v>
      </c>
      <c r="H413" s="8">
        <v>608</v>
      </c>
      <c r="I413" s="8" t="s">
        <v>16</v>
      </c>
      <c r="J413" s="8">
        <v>185141</v>
      </c>
      <c r="K413" s="8">
        <v>20</v>
      </c>
      <c r="L413" s="8">
        <v>10.36</v>
      </c>
      <c r="M413" s="8">
        <v>79.92</v>
      </c>
      <c r="N413" s="8" t="s">
        <v>10</v>
      </c>
      <c r="O413" s="8" t="s">
        <v>18</v>
      </c>
      <c r="P413" s="9">
        <v>44685</v>
      </c>
      <c r="Q413" s="8" t="s">
        <v>43</v>
      </c>
      <c r="R413" s="10">
        <v>0</v>
      </c>
    </row>
    <row r="414" spans="1:18" x14ac:dyDescent="0.3">
      <c r="A414" s="7" t="s">
        <v>448</v>
      </c>
      <c r="B414" s="8" t="s">
        <v>24</v>
      </c>
      <c r="C414" s="8">
        <v>35</v>
      </c>
      <c r="D414" s="8" t="s">
        <v>6</v>
      </c>
      <c r="E414" s="8" t="s">
        <v>21</v>
      </c>
      <c r="F414" s="8">
        <v>139671</v>
      </c>
      <c r="G414" s="8" t="s">
        <v>15</v>
      </c>
      <c r="H414" s="8">
        <v>535</v>
      </c>
      <c r="I414" s="8" t="s">
        <v>9</v>
      </c>
      <c r="J414" s="8">
        <v>445256</v>
      </c>
      <c r="K414" s="8">
        <v>15</v>
      </c>
      <c r="L414" s="8">
        <v>13.91</v>
      </c>
      <c r="M414" s="8">
        <v>344.08</v>
      </c>
      <c r="N414" s="8" t="s">
        <v>10</v>
      </c>
      <c r="O414" s="8" t="s">
        <v>22</v>
      </c>
      <c r="P414" s="9">
        <v>45369</v>
      </c>
      <c r="Q414" s="8" t="s">
        <v>43</v>
      </c>
      <c r="R414" s="10">
        <v>0</v>
      </c>
    </row>
    <row r="415" spans="1:18" x14ac:dyDescent="0.3">
      <c r="A415" s="7" t="s">
        <v>449</v>
      </c>
      <c r="B415" s="8" t="s">
        <v>20</v>
      </c>
      <c r="C415" s="8">
        <v>64</v>
      </c>
      <c r="D415" s="8" t="s">
        <v>31</v>
      </c>
      <c r="E415" s="8" t="s">
        <v>7</v>
      </c>
      <c r="F415" s="8">
        <v>94421</v>
      </c>
      <c r="G415" s="8" t="s">
        <v>8</v>
      </c>
      <c r="H415" s="8">
        <v>463</v>
      </c>
      <c r="I415" s="8" t="s">
        <v>9</v>
      </c>
      <c r="J415" s="8">
        <v>1623725</v>
      </c>
      <c r="K415" s="8">
        <v>15</v>
      </c>
      <c r="L415" s="8">
        <v>8.15</v>
      </c>
      <c r="M415" s="8">
        <v>735.19</v>
      </c>
      <c r="N415" s="8" t="s">
        <v>10</v>
      </c>
      <c r="O415" s="8" t="s">
        <v>18</v>
      </c>
      <c r="P415" s="9">
        <v>44581</v>
      </c>
      <c r="Q415" s="8" t="s">
        <v>43</v>
      </c>
      <c r="R415" s="10">
        <v>0</v>
      </c>
    </row>
    <row r="416" spans="1:18" x14ac:dyDescent="0.3">
      <c r="A416" s="7" t="s">
        <v>450</v>
      </c>
      <c r="B416" s="8" t="s">
        <v>20</v>
      </c>
      <c r="C416" s="8">
        <v>34</v>
      </c>
      <c r="D416" s="8" t="s">
        <v>6</v>
      </c>
      <c r="E416" s="8" t="s">
        <v>7</v>
      </c>
      <c r="F416" s="8">
        <v>74374</v>
      </c>
      <c r="G416" s="8" t="s">
        <v>15</v>
      </c>
      <c r="H416" s="8">
        <v>830</v>
      </c>
      <c r="I416" s="8" t="s">
        <v>40</v>
      </c>
      <c r="J416" s="8">
        <v>180337</v>
      </c>
      <c r="K416" s="8">
        <v>5</v>
      </c>
      <c r="L416" s="8">
        <v>8.33</v>
      </c>
      <c r="M416" s="8">
        <v>250.37</v>
      </c>
      <c r="N416" s="8" t="s">
        <v>27</v>
      </c>
      <c r="O416" s="8" t="s">
        <v>28</v>
      </c>
      <c r="P416" s="9">
        <v>45293</v>
      </c>
      <c r="Q416" s="8" t="s">
        <v>43</v>
      </c>
      <c r="R416" s="10">
        <v>0</v>
      </c>
    </row>
    <row r="417" spans="1:18" x14ac:dyDescent="0.3">
      <c r="A417" s="7" t="s">
        <v>451</v>
      </c>
      <c r="B417" s="8" t="s">
        <v>45</v>
      </c>
      <c r="C417" s="8">
        <v>31</v>
      </c>
      <c r="D417" s="8" t="s">
        <v>6</v>
      </c>
      <c r="E417" s="8" t="s">
        <v>7</v>
      </c>
      <c r="F417" s="8">
        <v>98138</v>
      </c>
      <c r="G417" s="8" t="s">
        <v>15</v>
      </c>
      <c r="H417" s="8">
        <v>810</v>
      </c>
      <c r="I417" s="8" t="s">
        <v>40</v>
      </c>
      <c r="J417" s="8">
        <v>681056</v>
      </c>
      <c r="K417" s="8">
        <v>15</v>
      </c>
      <c r="L417" s="8">
        <v>9.16</v>
      </c>
      <c r="M417" s="8">
        <v>346.58</v>
      </c>
      <c r="N417" s="8" t="s">
        <v>8</v>
      </c>
      <c r="O417" s="8" t="s">
        <v>22</v>
      </c>
      <c r="P417" s="9">
        <v>44732</v>
      </c>
      <c r="Q417" s="8" t="s">
        <v>43</v>
      </c>
      <c r="R417" s="10">
        <v>0</v>
      </c>
    </row>
    <row r="418" spans="1:18" x14ac:dyDescent="0.3">
      <c r="A418" s="7" t="s">
        <v>452</v>
      </c>
      <c r="B418" s="8" t="s">
        <v>33</v>
      </c>
      <c r="C418" s="8">
        <v>50</v>
      </c>
      <c r="D418" s="8" t="s">
        <v>31</v>
      </c>
      <c r="E418" s="8" t="s">
        <v>7</v>
      </c>
      <c r="F418" s="8">
        <v>121378</v>
      </c>
      <c r="G418" s="8" t="s">
        <v>8</v>
      </c>
      <c r="H418" s="8">
        <v>661</v>
      </c>
      <c r="I418" s="8" t="s">
        <v>16</v>
      </c>
      <c r="J418" s="8">
        <v>1757929</v>
      </c>
      <c r="K418" s="8">
        <v>5</v>
      </c>
      <c r="L418" s="8">
        <v>12.77</v>
      </c>
      <c r="M418" s="8">
        <v>3741.46</v>
      </c>
      <c r="N418" s="8" t="s">
        <v>10</v>
      </c>
      <c r="O418" s="8" t="s">
        <v>28</v>
      </c>
      <c r="P418" s="9">
        <v>44903</v>
      </c>
      <c r="Q418" s="8" t="s">
        <v>12</v>
      </c>
      <c r="R418" s="10">
        <v>0</v>
      </c>
    </row>
    <row r="419" spans="1:18" x14ac:dyDescent="0.3">
      <c r="A419" s="7" t="s">
        <v>453</v>
      </c>
      <c r="B419" s="8" t="s">
        <v>39</v>
      </c>
      <c r="C419" s="8">
        <v>63</v>
      </c>
      <c r="D419" s="8" t="s">
        <v>31</v>
      </c>
      <c r="E419" s="8" t="s">
        <v>21</v>
      </c>
      <c r="F419" s="8">
        <v>44855</v>
      </c>
      <c r="G419" s="8" t="s">
        <v>25</v>
      </c>
      <c r="H419" s="8">
        <v>813</v>
      </c>
      <c r="I419" s="8" t="s">
        <v>40</v>
      </c>
      <c r="J419" s="8">
        <v>1037337</v>
      </c>
      <c r="K419" s="8">
        <v>15</v>
      </c>
      <c r="L419" s="8">
        <v>12.31</v>
      </c>
      <c r="M419" s="8">
        <v>709.42</v>
      </c>
      <c r="N419" s="8" t="s">
        <v>10</v>
      </c>
      <c r="O419" s="8" t="s">
        <v>11</v>
      </c>
      <c r="P419" s="9">
        <v>45094</v>
      </c>
      <c r="Q419" s="8" t="s">
        <v>43</v>
      </c>
      <c r="R419" s="10">
        <v>0</v>
      </c>
    </row>
    <row r="420" spans="1:18" x14ac:dyDescent="0.3">
      <c r="A420" s="7" t="s">
        <v>454</v>
      </c>
      <c r="B420" s="8" t="s">
        <v>33</v>
      </c>
      <c r="C420" s="8">
        <v>30</v>
      </c>
      <c r="D420" s="8" t="s">
        <v>6</v>
      </c>
      <c r="E420" s="8" t="s">
        <v>7</v>
      </c>
      <c r="F420" s="8">
        <v>60769</v>
      </c>
      <c r="G420" s="8" t="s">
        <v>15</v>
      </c>
      <c r="H420" s="8">
        <v>692</v>
      </c>
      <c r="I420" s="8" t="s">
        <v>16</v>
      </c>
      <c r="J420" s="8">
        <v>1316935</v>
      </c>
      <c r="K420" s="8">
        <v>20</v>
      </c>
      <c r="L420" s="8">
        <v>12.98</v>
      </c>
      <c r="M420" s="8">
        <v>712.24</v>
      </c>
      <c r="N420" s="8" t="s">
        <v>17</v>
      </c>
      <c r="O420" s="8" t="s">
        <v>22</v>
      </c>
      <c r="P420" s="9">
        <v>44618</v>
      </c>
      <c r="Q420" s="8" t="s">
        <v>12</v>
      </c>
      <c r="R420" s="10">
        <v>0</v>
      </c>
    </row>
    <row r="421" spans="1:18" x14ac:dyDescent="0.3">
      <c r="A421" s="7" t="s">
        <v>455</v>
      </c>
      <c r="B421" s="8" t="s">
        <v>5</v>
      </c>
      <c r="C421" s="8">
        <v>40</v>
      </c>
      <c r="D421" s="8" t="s">
        <v>6</v>
      </c>
      <c r="E421" s="8" t="s">
        <v>21</v>
      </c>
      <c r="F421" s="8">
        <v>42099</v>
      </c>
      <c r="G421" s="8" t="s">
        <v>8</v>
      </c>
      <c r="H421" s="8">
        <v>341</v>
      </c>
      <c r="I421" s="8" t="s">
        <v>9</v>
      </c>
      <c r="J421" s="8">
        <v>1789171</v>
      </c>
      <c r="K421" s="8">
        <v>5</v>
      </c>
      <c r="L421" s="8">
        <v>10.62</v>
      </c>
      <c r="M421" s="8">
        <v>3166.83</v>
      </c>
      <c r="N421" s="8" t="s">
        <v>8</v>
      </c>
      <c r="O421" s="8" t="s">
        <v>18</v>
      </c>
      <c r="P421" s="9">
        <v>44730</v>
      </c>
      <c r="Q421" s="8" t="s">
        <v>12</v>
      </c>
      <c r="R421" s="10">
        <v>0</v>
      </c>
    </row>
    <row r="422" spans="1:18" x14ac:dyDescent="0.3">
      <c r="A422" s="7" t="s">
        <v>456</v>
      </c>
      <c r="B422" s="8" t="s">
        <v>5</v>
      </c>
      <c r="C422" s="8">
        <v>21</v>
      </c>
      <c r="D422" s="8" t="s">
        <v>34</v>
      </c>
      <c r="E422" s="8" t="s">
        <v>21</v>
      </c>
      <c r="F422" s="8">
        <v>147504</v>
      </c>
      <c r="G422" s="8" t="s">
        <v>8</v>
      </c>
      <c r="H422" s="8">
        <v>752</v>
      </c>
      <c r="I422" s="8" t="s">
        <v>40</v>
      </c>
      <c r="J422" s="8">
        <v>1465467</v>
      </c>
      <c r="K422" s="8">
        <v>20</v>
      </c>
      <c r="L422" s="8">
        <v>14.86</v>
      </c>
      <c r="M422" s="8">
        <v>907.37</v>
      </c>
      <c r="N422" s="8" t="s">
        <v>8</v>
      </c>
      <c r="O422" s="8" t="s">
        <v>18</v>
      </c>
      <c r="P422" s="9">
        <v>44817</v>
      </c>
      <c r="Q422" s="8" t="s">
        <v>12</v>
      </c>
      <c r="R422" s="10">
        <v>0</v>
      </c>
    </row>
    <row r="423" spans="1:18" x14ac:dyDescent="0.3">
      <c r="A423" s="7" t="s">
        <v>457</v>
      </c>
      <c r="B423" s="8" t="s">
        <v>47</v>
      </c>
      <c r="C423" s="8">
        <v>43</v>
      </c>
      <c r="D423" s="8" t="s">
        <v>6</v>
      </c>
      <c r="E423" s="8" t="s">
        <v>7</v>
      </c>
      <c r="F423" s="8">
        <v>146556</v>
      </c>
      <c r="G423" s="8" t="s">
        <v>25</v>
      </c>
      <c r="H423" s="8">
        <v>312</v>
      </c>
      <c r="I423" s="8" t="s">
        <v>9</v>
      </c>
      <c r="J423" s="8">
        <v>169524</v>
      </c>
      <c r="K423" s="8">
        <v>10</v>
      </c>
      <c r="L423" s="8">
        <v>10.44</v>
      </c>
      <c r="M423" s="8">
        <v>147.49</v>
      </c>
      <c r="N423" s="8" t="s">
        <v>8</v>
      </c>
      <c r="O423" s="8" t="s">
        <v>18</v>
      </c>
      <c r="P423" s="9">
        <v>45002</v>
      </c>
      <c r="Q423" s="8" t="s">
        <v>12</v>
      </c>
      <c r="R423" s="10">
        <v>0</v>
      </c>
    </row>
    <row r="424" spans="1:18" x14ac:dyDescent="0.3">
      <c r="A424" s="7" t="s">
        <v>458</v>
      </c>
      <c r="B424" s="8" t="s">
        <v>33</v>
      </c>
      <c r="C424" s="8">
        <v>58</v>
      </c>
      <c r="D424" s="8" t="s">
        <v>31</v>
      </c>
      <c r="E424" s="8" t="s">
        <v>21</v>
      </c>
      <c r="F424" s="8">
        <v>81380</v>
      </c>
      <c r="G424" s="8" t="s">
        <v>15</v>
      </c>
      <c r="H424" s="8">
        <v>712</v>
      </c>
      <c r="I424" s="8" t="s">
        <v>40</v>
      </c>
      <c r="J424" s="8">
        <v>370758</v>
      </c>
      <c r="K424" s="8">
        <v>10</v>
      </c>
      <c r="L424" s="8">
        <v>8.91</v>
      </c>
      <c r="M424" s="8">
        <v>275.29000000000002</v>
      </c>
      <c r="N424" s="8" t="s">
        <v>17</v>
      </c>
      <c r="O424" s="8" t="s">
        <v>28</v>
      </c>
      <c r="P424" s="9">
        <v>45032</v>
      </c>
      <c r="Q424" s="8" t="s">
        <v>12</v>
      </c>
      <c r="R424" s="10">
        <v>0</v>
      </c>
    </row>
    <row r="425" spans="1:18" x14ac:dyDescent="0.3">
      <c r="A425" s="7" t="s">
        <v>459</v>
      </c>
      <c r="B425" s="8" t="s">
        <v>47</v>
      </c>
      <c r="C425" s="8">
        <v>23</v>
      </c>
      <c r="D425" s="8" t="s">
        <v>34</v>
      </c>
      <c r="E425" s="8" t="s">
        <v>21</v>
      </c>
      <c r="F425" s="8">
        <v>86810</v>
      </c>
      <c r="G425" s="8" t="s">
        <v>8</v>
      </c>
      <c r="H425" s="8">
        <v>695</v>
      </c>
      <c r="I425" s="8" t="s">
        <v>16</v>
      </c>
      <c r="J425" s="8">
        <v>1621477</v>
      </c>
      <c r="K425" s="8">
        <v>5</v>
      </c>
      <c r="L425" s="8">
        <v>11.32</v>
      </c>
      <c r="M425" s="8">
        <v>3059.19</v>
      </c>
      <c r="N425" s="8" t="s">
        <v>42</v>
      </c>
      <c r="O425" s="8" t="s">
        <v>11</v>
      </c>
      <c r="P425" s="9">
        <v>44897</v>
      </c>
      <c r="Q425" s="8" t="s">
        <v>12</v>
      </c>
      <c r="R425" s="10">
        <v>0</v>
      </c>
    </row>
    <row r="426" spans="1:18" x14ac:dyDescent="0.3">
      <c r="A426" s="7" t="s">
        <v>460</v>
      </c>
      <c r="B426" s="8" t="s">
        <v>45</v>
      </c>
      <c r="C426" s="8">
        <v>41</v>
      </c>
      <c r="D426" s="8" t="s">
        <v>6</v>
      </c>
      <c r="E426" s="8" t="s">
        <v>7</v>
      </c>
      <c r="F426" s="8">
        <v>71550</v>
      </c>
      <c r="G426" s="8" t="s">
        <v>25</v>
      </c>
      <c r="H426" s="8">
        <v>654</v>
      </c>
      <c r="I426" s="8" t="s">
        <v>16</v>
      </c>
      <c r="J426" s="8">
        <v>1864053</v>
      </c>
      <c r="K426" s="8">
        <v>10</v>
      </c>
      <c r="L426" s="8">
        <v>8.6</v>
      </c>
      <c r="M426" s="8">
        <v>1335.9</v>
      </c>
      <c r="N426" s="8" t="s">
        <v>10</v>
      </c>
      <c r="O426" s="8" t="s">
        <v>22</v>
      </c>
      <c r="P426" s="9">
        <v>44592</v>
      </c>
      <c r="Q426" s="8" t="s">
        <v>29</v>
      </c>
      <c r="R426" s="10">
        <v>1</v>
      </c>
    </row>
    <row r="427" spans="1:18" x14ac:dyDescent="0.3">
      <c r="A427" s="7" t="s">
        <v>461</v>
      </c>
      <c r="B427" s="8" t="s">
        <v>20</v>
      </c>
      <c r="C427" s="8">
        <v>52</v>
      </c>
      <c r="D427" s="8" t="s">
        <v>31</v>
      </c>
      <c r="E427" s="8" t="s">
        <v>21</v>
      </c>
      <c r="F427" s="8">
        <v>25315</v>
      </c>
      <c r="G427" s="8" t="s">
        <v>15</v>
      </c>
      <c r="H427" s="8">
        <v>714</v>
      </c>
      <c r="I427" s="8" t="s">
        <v>40</v>
      </c>
      <c r="J427" s="8">
        <v>718242</v>
      </c>
      <c r="K427" s="8">
        <v>20</v>
      </c>
      <c r="L427" s="8">
        <v>8.2799999999999994</v>
      </c>
      <c r="M427" s="8">
        <v>247.79</v>
      </c>
      <c r="N427" s="8" t="s">
        <v>8</v>
      </c>
      <c r="O427" s="8" t="s">
        <v>18</v>
      </c>
      <c r="P427" s="9">
        <v>44564</v>
      </c>
      <c r="Q427" s="8" t="s">
        <v>12</v>
      </c>
      <c r="R427" s="10">
        <v>0</v>
      </c>
    </row>
    <row r="428" spans="1:18" x14ac:dyDescent="0.3">
      <c r="A428" s="7" t="s">
        <v>462</v>
      </c>
      <c r="B428" s="8" t="s">
        <v>5</v>
      </c>
      <c r="C428" s="8">
        <v>52</v>
      </c>
      <c r="D428" s="8" t="s">
        <v>31</v>
      </c>
      <c r="E428" s="8" t="s">
        <v>7</v>
      </c>
      <c r="F428" s="8">
        <v>84269</v>
      </c>
      <c r="G428" s="8" t="s">
        <v>15</v>
      </c>
      <c r="H428" s="8">
        <v>601</v>
      </c>
      <c r="I428" s="8" t="s">
        <v>16</v>
      </c>
      <c r="J428" s="8">
        <v>1466446</v>
      </c>
      <c r="K428" s="8">
        <v>20</v>
      </c>
      <c r="L428" s="8">
        <v>9.8800000000000008</v>
      </c>
      <c r="M428" s="8">
        <v>603.69000000000005</v>
      </c>
      <c r="N428" s="8" t="s">
        <v>27</v>
      </c>
      <c r="O428" s="8" t="s">
        <v>28</v>
      </c>
      <c r="P428" s="9">
        <v>44907</v>
      </c>
      <c r="Q428" s="8" t="s">
        <v>12</v>
      </c>
      <c r="R428" s="10">
        <v>0</v>
      </c>
    </row>
    <row r="429" spans="1:18" x14ac:dyDescent="0.3">
      <c r="A429" s="7" t="s">
        <v>463</v>
      </c>
      <c r="B429" s="8" t="s">
        <v>14</v>
      </c>
      <c r="C429" s="8">
        <v>60</v>
      </c>
      <c r="D429" s="8" t="s">
        <v>31</v>
      </c>
      <c r="E429" s="8" t="s">
        <v>7</v>
      </c>
      <c r="F429" s="8">
        <v>121622</v>
      </c>
      <c r="G429" s="8" t="s">
        <v>25</v>
      </c>
      <c r="H429" s="8">
        <v>451</v>
      </c>
      <c r="I429" s="8" t="s">
        <v>9</v>
      </c>
      <c r="J429" s="8">
        <v>1219044</v>
      </c>
      <c r="K429" s="8">
        <v>5</v>
      </c>
      <c r="L429" s="8">
        <v>8.64</v>
      </c>
      <c r="M429" s="8">
        <v>1755.42</v>
      </c>
      <c r="N429" s="8" t="s">
        <v>42</v>
      </c>
      <c r="O429" s="8" t="s">
        <v>18</v>
      </c>
      <c r="P429" s="9">
        <v>45053</v>
      </c>
      <c r="Q429" s="8" t="s">
        <v>12</v>
      </c>
      <c r="R429" s="10">
        <v>0</v>
      </c>
    </row>
    <row r="430" spans="1:18" x14ac:dyDescent="0.3">
      <c r="A430" s="7" t="s">
        <v>464</v>
      </c>
      <c r="B430" s="8" t="s">
        <v>5</v>
      </c>
      <c r="C430" s="8">
        <v>34</v>
      </c>
      <c r="D430" s="8" t="s">
        <v>6</v>
      </c>
      <c r="E430" s="8" t="s">
        <v>21</v>
      </c>
      <c r="F430" s="8">
        <v>68881</v>
      </c>
      <c r="G430" s="8" t="s">
        <v>8</v>
      </c>
      <c r="H430" s="8">
        <v>357</v>
      </c>
      <c r="I430" s="8" t="s">
        <v>9</v>
      </c>
      <c r="J430" s="8">
        <v>128980</v>
      </c>
      <c r="K430" s="8">
        <v>10</v>
      </c>
      <c r="L430" s="8">
        <v>13.1</v>
      </c>
      <c r="M430" s="8">
        <v>140.80000000000001</v>
      </c>
      <c r="N430" s="8" t="s">
        <v>27</v>
      </c>
      <c r="O430" s="8" t="s">
        <v>28</v>
      </c>
      <c r="P430" s="9">
        <v>44871</v>
      </c>
      <c r="Q430" s="8" t="s">
        <v>43</v>
      </c>
      <c r="R430" s="10">
        <v>0</v>
      </c>
    </row>
    <row r="431" spans="1:18" x14ac:dyDescent="0.3">
      <c r="A431" s="7" t="s">
        <v>465</v>
      </c>
      <c r="B431" s="8" t="s">
        <v>47</v>
      </c>
      <c r="C431" s="8">
        <v>62</v>
      </c>
      <c r="D431" s="8" t="s">
        <v>31</v>
      </c>
      <c r="E431" s="8" t="s">
        <v>7</v>
      </c>
      <c r="F431" s="8">
        <v>46252</v>
      </c>
      <c r="G431" s="8" t="s">
        <v>8</v>
      </c>
      <c r="H431" s="8">
        <v>597</v>
      </c>
      <c r="I431" s="8" t="s">
        <v>16</v>
      </c>
      <c r="J431" s="8">
        <v>1966000</v>
      </c>
      <c r="K431" s="8">
        <v>20</v>
      </c>
      <c r="L431" s="8">
        <v>14.32</v>
      </c>
      <c r="M431" s="8">
        <v>1173.05</v>
      </c>
      <c r="N431" s="8" t="s">
        <v>8</v>
      </c>
      <c r="O431" s="8" t="s">
        <v>11</v>
      </c>
      <c r="P431" s="9">
        <v>45209</v>
      </c>
      <c r="Q431" s="8" t="s">
        <v>43</v>
      </c>
      <c r="R431" s="10">
        <v>0</v>
      </c>
    </row>
    <row r="432" spans="1:18" x14ac:dyDescent="0.3">
      <c r="A432" s="7" t="s">
        <v>466</v>
      </c>
      <c r="B432" s="8" t="s">
        <v>45</v>
      </c>
      <c r="C432" s="8">
        <v>31</v>
      </c>
      <c r="D432" s="8" t="s">
        <v>6</v>
      </c>
      <c r="E432" s="8" t="s">
        <v>7</v>
      </c>
      <c r="F432" s="8">
        <v>71856</v>
      </c>
      <c r="G432" s="8" t="s">
        <v>15</v>
      </c>
      <c r="H432" s="8">
        <v>739</v>
      </c>
      <c r="I432" s="8" t="s">
        <v>40</v>
      </c>
      <c r="J432" s="8">
        <v>928245</v>
      </c>
      <c r="K432" s="8">
        <v>20</v>
      </c>
      <c r="L432" s="8">
        <v>7.19</v>
      </c>
      <c r="M432" s="8">
        <v>278.08999999999997</v>
      </c>
      <c r="N432" s="8" t="s">
        <v>17</v>
      </c>
      <c r="O432" s="8" t="s">
        <v>11</v>
      </c>
      <c r="P432" s="9">
        <v>44658</v>
      </c>
      <c r="Q432" s="8" t="s">
        <v>12</v>
      </c>
      <c r="R432" s="10">
        <v>0</v>
      </c>
    </row>
    <row r="433" spans="1:18" x14ac:dyDescent="0.3">
      <c r="A433" s="7" t="s">
        <v>467</v>
      </c>
      <c r="B433" s="8" t="s">
        <v>33</v>
      </c>
      <c r="C433" s="8">
        <v>29</v>
      </c>
      <c r="D433" s="8" t="s">
        <v>34</v>
      </c>
      <c r="E433" s="8" t="s">
        <v>21</v>
      </c>
      <c r="F433" s="8">
        <v>75596</v>
      </c>
      <c r="G433" s="8" t="s">
        <v>25</v>
      </c>
      <c r="H433" s="8">
        <v>757</v>
      </c>
      <c r="I433" s="8" t="s">
        <v>40</v>
      </c>
      <c r="J433" s="8">
        <v>700140</v>
      </c>
      <c r="K433" s="8">
        <v>20</v>
      </c>
      <c r="L433" s="8">
        <v>10.28</v>
      </c>
      <c r="M433" s="8">
        <v>299.89</v>
      </c>
      <c r="N433" s="8" t="s">
        <v>17</v>
      </c>
      <c r="O433" s="8" t="s">
        <v>22</v>
      </c>
      <c r="P433" s="9">
        <v>45443</v>
      </c>
      <c r="Q433" s="8" t="s">
        <v>12</v>
      </c>
      <c r="R433" s="10">
        <v>0</v>
      </c>
    </row>
    <row r="434" spans="1:18" x14ac:dyDescent="0.3">
      <c r="A434" s="7" t="s">
        <v>468</v>
      </c>
      <c r="B434" s="8" t="s">
        <v>45</v>
      </c>
      <c r="C434" s="8">
        <v>50</v>
      </c>
      <c r="D434" s="8" t="s">
        <v>31</v>
      </c>
      <c r="E434" s="8" t="s">
        <v>7</v>
      </c>
      <c r="F434" s="8">
        <v>106223</v>
      </c>
      <c r="G434" s="8" t="s">
        <v>8</v>
      </c>
      <c r="H434" s="8">
        <v>666</v>
      </c>
      <c r="I434" s="8" t="s">
        <v>16</v>
      </c>
      <c r="J434" s="8">
        <v>1520630</v>
      </c>
      <c r="K434" s="8">
        <v>15</v>
      </c>
      <c r="L434" s="8">
        <v>11.33</v>
      </c>
      <c r="M434" s="8">
        <v>957.15</v>
      </c>
      <c r="N434" s="8" t="s">
        <v>17</v>
      </c>
      <c r="O434" s="8" t="s">
        <v>18</v>
      </c>
      <c r="P434" s="9">
        <v>44751</v>
      </c>
      <c r="Q434" s="8" t="s">
        <v>12</v>
      </c>
      <c r="R434" s="10">
        <v>0</v>
      </c>
    </row>
    <row r="435" spans="1:18" x14ac:dyDescent="0.3">
      <c r="A435" s="7" t="s">
        <v>469</v>
      </c>
      <c r="B435" s="8" t="s">
        <v>36</v>
      </c>
      <c r="C435" s="8">
        <v>32</v>
      </c>
      <c r="D435" s="8" t="s">
        <v>6</v>
      </c>
      <c r="E435" s="8" t="s">
        <v>7</v>
      </c>
      <c r="F435" s="8">
        <v>111983</v>
      </c>
      <c r="G435" s="8" t="s">
        <v>8</v>
      </c>
      <c r="H435" s="8">
        <v>648</v>
      </c>
      <c r="I435" s="8" t="s">
        <v>16</v>
      </c>
      <c r="J435" s="8">
        <v>1958587</v>
      </c>
      <c r="K435" s="8">
        <v>5</v>
      </c>
      <c r="L435" s="8">
        <v>7.42</v>
      </c>
      <c r="M435" s="8">
        <v>2422.12</v>
      </c>
      <c r="N435" s="8" t="s">
        <v>8</v>
      </c>
      <c r="O435" s="8" t="s">
        <v>28</v>
      </c>
      <c r="P435" s="9">
        <v>44938</v>
      </c>
      <c r="Q435" s="8" t="s">
        <v>12</v>
      </c>
      <c r="R435" s="10">
        <v>0</v>
      </c>
    </row>
    <row r="436" spans="1:18" x14ac:dyDescent="0.3">
      <c r="A436" s="7" t="s">
        <v>470</v>
      </c>
      <c r="B436" s="8" t="s">
        <v>33</v>
      </c>
      <c r="C436" s="8">
        <v>30</v>
      </c>
      <c r="D436" s="8" t="s">
        <v>6</v>
      </c>
      <c r="E436" s="8" t="s">
        <v>7</v>
      </c>
      <c r="F436" s="8">
        <v>74876</v>
      </c>
      <c r="G436" s="8" t="s">
        <v>25</v>
      </c>
      <c r="H436" s="8">
        <v>765</v>
      </c>
      <c r="I436" s="8" t="s">
        <v>40</v>
      </c>
      <c r="J436" s="8">
        <v>1589114</v>
      </c>
      <c r="K436" s="8">
        <v>5</v>
      </c>
      <c r="L436" s="8">
        <v>8.64</v>
      </c>
      <c r="M436" s="8">
        <v>2288.3200000000002</v>
      </c>
      <c r="N436" s="8" t="s">
        <v>27</v>
      </c>
      <c r="O436" s="8" t="s">
        <v>18</v>
      </c>
      <c r="P436" s="9">
        <v>44745</v>
      </c>
      <c r="Q436" s="8" t="s">
        <v>43</v>
      </c>
      <c r="R436" s="10">
        <v>0</v>
      </c>
    </row>
    <row r="437" spans="1:18" x14ac:dyDescent="0.3">
      <c r="A437" s="7" t="s">
        <v>471</v>
      </c>
      <c r="B437" s="8" t="s">
        <v>36</v>
      </c>
      <c r="C437" s="8">
        <v>26</v>
      </c>
      <c r="D437" s="8" t="s">
        <v>34</v>
      </c>
      <c r="E437" s="8" t="s">
        <v>21</v>
      </c>
      <c r="F437" s="8">
        <v>65852</v>
      </c>
      <c r="G437" s="8" t="s">
        <v>25</v>
      </c>
      <c r="H437" s="8">
        <v>447</v>
      </c>
      <c r="I437" s="8" t="s">
        <v>9</v>
      </c>
      <c r="J437" s="8">
        <v>1059450</v>
      </c>
      <c r="K437" s="8">
        <v>10</v>
      </c>
      <c r="L437" s="8">
        <v>13.54</v>
      </c>
      <c r="M437" s="8">
        <v>1195.4100000000001</v>
      </c>
      <c r="N437" s="8" t="s">
        <v>8</v>
      </c>
      <c r="O437" s="8" t="s">
        <v>22</v>
      </c>
      <c r="P437" s="9">
        <v>45063</v>
      </c>
      <c r="Q437" s="8" t="s">
        <v>43</v>
      </c>
      <c r="R437" s="10">
        <v>0</v>
      </c>
    </row>
    <row r="438" spans="1:18" x14ac:dyDescent="0.3">
      <c r="A438" s="7" t="s">
        <v>472</v>
      </c>
      <c r="B438" s="8" t="s">
        <v>33</v>
      </c>
      <c r="C438" s="8">
        <v>49</v>
      </c>
      <c r="D438" s="8" t="s">
        <v>31</v>
      </c>
      <c r="E438" s="8" t="s">
        <v>7</v>
      </c>
      <c r="F438" s="8">
        <v>140388</v>
      </c>
      <c r="G438" s="8" t="s">
        <v>15</v>
      </c>
      <c r="H438" s="8">
        <v>808</v>
      </c>
      <c r="I438" s="8" t="s">
        <v>40</v>
      </c>
      <c r="J438" s="8">
        <v>1170884</v>
      </c>
      <c r="K438" s="8">
        <v>10</v>
      </c>
      <c r="L438" s="8">
        <v>11.19</v>
      </c>
      <c r="M438" s="8">
        <v>1091.8499999999999</v>
      </c>
      <c r="N438" s="8" t="s">
        <v>10</v>
      </c>
      <c r="O438" s="8" t="s">
        <v>28</v>
      </c>
      <c r="P438" s="9">
        <v>44563</v>
      </c>
      <c r="Q438" s="8" t="s">
        <v>12</v>
      </c>
      <c r="R438" s="10">
        <v>0</v>
      </c>
    </row>
    <row r="439" spans="1:18" x14ac:dyDescent="0.3">
      <c r="A439" s="7" t="s">
        <v>473</v>
      </c>
      <c r="B439" s="8" t="s">
        <v>45</v>
      </c>
      <c r="C439" s="8">
        <v>58</v>
      </c>
      <c r="D439" s="8" t="s">
        <v>31</v>
      </c>
      <c r="E439" s="8" t="s">
        <v>7</v>
      </c>
      <c r="F439" s="8">
        <v>28535</v>
      </c>
      <c r="G439" s="8" t="s">
        <v>8</v>
      </c>
      <c r="H439" s="8">
        <v>733</v>
      </c>
      <c r="I439" s="8" t="s">
        <v>40</v>
      </c>
      <c r="J439" s="8">
        <v>1446617</v>
      </c>
      <c r="K439" s="8">
        <v>5</v>
      </c>
      <c r="L439" s="8">
        <v>7.53</v>
      </c>
      <c r="M439" s="8">
        <v>1815.5</v>
      </c>
      <c r="N439" s="8" t="s">
        <v>8</v>
      </c>
      <c r="O439" s="8" t="s">
        <v>28</v>
      </c>
      <c r="P439" s="9">
        <v>44575</v>
      </c>
      <c r="Q439" s="8" t="s">
        <v>43</v>
      </c>
      <c r="R439" s="10">
        <v>0</v>
      </c>
    </row>
    <row r="440" spans="1:18" x14ac:dyDescent="0.3">
      <c r="A440" s="7" t="s">
        <v>474</v>
      </c>
      <c r="B440" s="8" t="s">
        <v>39</v>
      </c>
      <c r="C440" s="8">
        <v>26</v>
      </c>
      <c r="D440" s="8" t="s">
        <v>34</v>
      </c>
      <c r="E440" s="8" t="s">
        <v>21</v>
      </c>
      <c r="F440" s="8">
        <v>103322</v>
      </c>
      <c r="G440" s="8" t="s">
        <v>15</v>
      </c>
      <c r="H440" s="8">
        <v>503</v>
      </c>
      <c r="I440" s="8" t="s">
        <v>9</v>
      </c>
      <c r="J440" s="8">
        <v>383862</v>
      </c>
      <c r="K440" s="8">
        <v>5</v>
      </c>
      <c r="L440" s="8">
        <v>8.3800000000000008</v>
      </c>
      <c r="M440" s="8">
        <v>536.13</v>
      </c>
      <c r="N440" s="8" t="s">
        <v>27</v>
      </c>
      <c r="O440" s="8" t="s">
        <v>11</v>
      </c>
      <c r="P440" s="9">
        <v>44749</v>
      </c>
      <c r="Q440" s="8" t="s">
        <v>43</v>
      </c>
      <c r="R440" s="10">
        <v>0</v>
      </c>
    </row>
    <row r="441" spans="1:18" x14ac:dyDescent="0.3">
      <c r="A441" s="7" t="s">
        <v>475</v>
      </c>
      <c r="B441" s="8" t="s">
        <v>45</v>
      </c>
      <c r="C441" s="8">
        <v>43</v>
      </c>
      <c r="D441" s="8" t="s">
        <v>6</v>
      </c>
      <c r="E441" s="8" t="s">
        <v>7</v>
      </c>
      <c r="F441" s="8">
        <v>79279</v>
      </c>
      <c r="G441" s="8" t="s">
        <v>25</v>
      </c>
      <c r="H441" s="8">
        <v>737</v>
      </c>
      <c r="I441" s="8" t="s">
        <v>40</v>
      </c>
      <c r="J441" s="8">
        <v>1862383</v>
      </c>
      <c r="K441" s="8">
        <v>5</v>
      </c>
      <c r="L441" s="8">
        <v>12.63</v>
      </c>
      <c r="M441" s="8">
        <v>3920.32</v>
      </c>
      <c r="N441" s="8" t="s">
        <v>17</v>
      </c>
      <c r="O441" s="8" t="s">
        <v>11</v>
      </c>
      <c r="P441" s="9">
        <v>45230</v>
      </c>
      <c r="Q441" s="8" t="s">
        <v>43</v>
      </c>
      <c r="R441" s="10">
        <v>0</v>
      </c>
    </row>
    <row r="442" spans="1:18" x14ac:dyDescent="0.3">
      <c r="A442" s="7" t="s">
        <v>476</v>
      </c>
      <c r="B442" s="8" t="s">
        <v>24</v>
      </c>
      <c r="C442" s="8">
        <v>45</v>
      </c>
      <c r="D442" s="8" t="s">
        <v>6</v>
      </c>
      <c r="E442" s="8" t="s">
        <v>7</v>
      </c>
      <c r="F442" s="8">
        <v>48355</v>
      </c>
      <c r="G442" s="8" t="s">
        <v>25</v>
      </c>
      <c r="H442" s="8">
        <v>442</v>
      </c>
      <c r="I442" s="8" t="s">
        <v>9</v>
      </c>
      <c r="J442" s="8">
        <v>845360</v>
      </c>
      <c r="K442" s="8">
        <v>5</v>
      </c>
      <c r="L442" s="8">
        <v>8.69</v>
      </c>
      <c r="M442" s="8">
        <v>1224.3599999999999</v>
      </c>
      <c r="N442" s="8" t="s">
        <v>17</v>
      </c>
      <c r="O442" s="8" t="s">
        <v>22</v>
      </c>
      <c r="P442" s="9">
        <v>44700</v>
      </c>
      <c r="Q442" s="8" t="s">
        <v>12</v>
      </c>
      <c r="R442" s="10">
        <v>0</v>
      </c>
    </row>
    <row r="443" spans="1:18" x14ac:dyDescent="0.3">
      <c r="A443" s="7" t="s">
        <v>477</v>
      </c>
      <c r="B443" s="8" t="s">
        <v>24</v>
      </c>
      <c r="C443" s="8">
        <v>53</v>
      </c>
      <c r="D443" s="8" t="s">
        <v>31</v>
      </c>
      <c r="E443" s="8" t="s">
        <v>7</v>
      </c>
      <c r="F443" s="8">
        <v>118568</v>
      </c>
      <c r="G443" s="8" t="s">
        <v>25</v>
      </c>
      <c r="H443" s="8">
        <v>643</v>
      </c>
      <c r="I443" s="8" t="s">
        <v>16</v>
      </c>
      <c r="J443" s="8">
        <v>623689</v>
      </c>
      <c r="K443" s="8">
        <v>15</v>
      </c>
      <c r="L443" s="8">
        <v>14.31</v>
      </c>
      <c r="M443" s="8">
        <v>495.83</v>
      </c>
      <c r="N443" s="8" t="s">
        <v>42</v>
      </c>
      <c r="O443" s="8" t="s">
        <v>22</v>
      </c>
      <c r="P443" s="9">
        <v>45261</v>
      </c>
      <c r="Q443" s="8" t="s">
        <v>43</v>
      </c>
      <c r="R443" s="10">
        <v>0</v>
      </c>
    </row>
    <row r="444" spans="1:18" x14ac:dyDescent="0.3">
      <c r="A444" s="7" t="s">
        <v>478</v>
      </c>
      <c r="B444" s="8" t="s">
        <v>39</v>
      </c>
      <c r="C444" s="8">
        <v>41</v>
      </c>
      <c r="D444" s="8" t="s">
        <v>6</v>
      </c>
      <c r="E444" s="8" t="s">
        <v>21</v>
      </c>
      <c r="F444" s="8">
        <v>47029</v>
      </c>
      <c r="G444" s="8" t="s">
        <v>15</v>
      </c>
      <c r="H444" s="8">
        <v>378</v>
      </c>
      <c r="I444" s="8" t="s">
        <v>9</v>
      </c>
      <c r="J444" s="8">
        <v>273196</v>
      </c>
      <c r="K444" s="8">
        <v>20</v>
      </c>
      <c r="L444" s="8">
        <v>11.86</v>
      </c>
      <c r="M444" s="8">
        <v>135</v>
      </c>
      <c r="N444" s="8" t="s">
        <v>42</v>
      </c>
      <c r="O444" s="8" t="s">
        <v>11</v>
      </c>
      <c r="P444" s="9">
        <v>44586</v>
      </c>
      <c r="Q444" s="8" t="s">
        <v>29</v>
      </c>
      <c r="R444" s="10">
        <v>1</v>
      </c>
    </row>
    <row r="445" spans="1:18" x14ac:dyDescent="0.3">
      <c r="A445" s="7" t="s">
        <v>479</v>
      </c>
      <c r="B445" s="8" t="s">
        <v>47</v>
      </c>
      <c r="C445" s="8">
        <v>57</v>
      </c>
      <c r="D445" s="8" t="s">
        <v>31</v>
      </c>
      <c r="E445" s="8" t="s">
        <v>21</v>
      </c>
      <c r="F445" s="8">
        <v>33813</v>
      </c>
      <c r="G445" s="8" t="s">
        <v>8</v>
      </c>
      <c r="H445" s="8">
        <v>350</v>
      </c>
      <c r="I445" s="8" t="s">
        <v>9</v>
      </c>
      <c r="J445" s="8">
        <v>825775</v>
      </c>
      <c r="K445" s="8">
        <v>10</v>
      </c>
      <c r="L445" s="8">
        <v>9.92</v>
      </c>
      <c r="M445" s="8">
        <v>682.64</v>
      </c>
      <c r="N445" s="8" t="s">
        <v>10</v>
      </c>
      <c r="O445" s="8" t="s">
        <v>22</v>
      </c>
      <c r="P445" s="9">
        <v>45006</v>
      </c>
      <c r="Q445" s="8" t="s">
        <v>12</v>
      </c>
      <c r="R445" s="10">
        <v>0</v>
      </c>
    </row>
    <row r="446" spans="1:18" x14ac:dyDescent="0.3">
      <c r="A446" s="7" t="s">
        <v>480</v>
      </c>
      <c r="B446" s="8" t="s">
        <v>39</v>
      </c>
      <c r="C446" s="8">
        <v>57</v>
      </c>
      <c r="D446" s="8" t="s">
        <v>31</v>
      </c>
      <c r="E446" s="8" t="s">
        <v>7</v>
      </c>
      <c r="F446" s="8">
        <v>88187</v>
      </c>
      <c r="G446" s="8" t="s">
        <v>8</v>
      </c>
      <c r="H446" s="8">
        <v>833</v>
      </c>
      <c r="I446" s="8" t="s">
        <v>40</v>
      </c>
      <c r="J446" s="8">
        <v>963057</v>
      </c>
      <c r="K446" s="8">
        <v>5</v>
      </c>
      <c r="L446" s="8">
        <v>13.24</v>
      </c>
      <c r="M446" s="8">
        <v>2125.15</v>
      </c>
      <c r="N446" s="8" t="s">
        <v>17</v>
      </c>
      <c r="O446" s="8" t="s">
        <v>28</v>
      </c>
      <c r="P446" s="9">
        <v>44572</v>
      </c>
      <c r="Q446" s="8" t="s">
        <v>29</v>
      </c>
      <c r="R446" s="10">
        <v>1</v>
      </c>
    </row>
    <row r="447" spans="1:18" x14ac:dyDescent="0.3">
      <c r="A447" s="7" t="s">
        <v>481</v>
      </c>
      <c r="B447" s="8" t="s">
        <v>36</v>
      </c>
      <c r="C447" s="8">
        <v>63</v>
      </c>
      <c r="D447" s="8" t="s">
        <v>31</v>
      </c>
      <c r="E447" s="8" t="s">
        <v>21</v>
      </c>
      <c r="F447" s="8">
        <v>61399</v>
      </c>
      <c r="G447" s="8" t="s">
        <v>25</v>
      </c>
      <c r="H447" s="8">
        <v>361</v>
      </c>
      <c r="I447" s="8" t="s">
        <v>9</v>
      </c>
      <c r="J447" s="8">
        <v>1610459</v>
      </c>
      <c r="K447" s="8">
        <v>10</v>
      </c>
      <c r="L447" s="8">
        <v>11.17</v>
      </c>
      <c r="M447" s="8">
        <v>1499.07</v>
      </c>
      <c r="N447" s="8" t="s">
        <v>17</v>
      </c>
      <c r="O447" s="8" t="s">
        <v>22</v>
      </c>
      <c r="P447" s="9">
        <v>44903</v>
      </c>
      <c r="Q447" s="8" t="s">
        <v>12</v>
      </c>
      <c r="R447" s="10">
        <v>0</v>
      </c>
    </row>
    <row r="448" spans="1:18" x14ac:dyDescent="0.3">
      <c r="A448" s="7" t="s">
        <v>482</v>
      </c>
      <c r="B448" s="8" t="s">
        <v>39</v>
      </c>
      <c r="C448" s="8">
        <v>58</v>
      </c>
      <c r="D448" s="8" t="s">
        <v>31</v>
      </c>
      <c r="E448" s="8" t="s">
        <v>7</v>
      </c>
      <c r="F448" s="8">
        <v>84292</v>
      </c>
      <c r="G448" s="8" t="s">
        <v>8</v>
      </c>
      <c r="H448" s="8">
        <v>595</v>
      </c>
      <c r="I448" s="8" t="s">
        <v>16</v>
      </c>
      <c r="J448" s="8">
        <v>1952247</v>
      </c>
      <c r="K448" s="8">
        <v>5</v>
      </c>
      <c r="L448" s="8">
        <v>12.74</v>
      </c>
      <c r="M448" s="8">
        <v>4145.2700000000004</v>
      </c>
      <c r="N448" s="8" t="s">
        <v>8</v>
      </c>
      <c r="O448" s="8" t="s">
        <v>28</v>
      </c>
      <c r="P448" s="9">
        <v>45317</v>
      </c>
      <c r="Q448" s="8" t="s">
        <v>43</v>
      </c>
      <c r="R448" s="10">
        <v>0</v>
      </c>
    </row>
    <row r="449" spans="1:18" x14ac:dyDescent="0.3">
      <c r="A449" s="7" t="s">
        <v>483</v>
      </c>
      <c r="B449" s="8" t="s">
        <v>36</v>
      </c>
      <c r="C449" s="8">
        <v>31</v>
      </c>
      <c r="D449" s="8" t="s">
        <v>6</v>
      </c>
      <c r="E449" s="8" t="s">
        <v>21</v>
      </c>
      <c r="F449" s="8">
        <v>78163</v>
      </c>
      <c r="G449" s="8" t="s">
        <v>8</v>
      </c>
      <c r="H449" s="8">
        <v>461</v>
      </c>
      <c r="I449" s="8" t="s">
        <v>9</v>
      </c>
      <c r="J449" s="8">
        <v>1229165</v>
      </c>
      <c r="K449" s="8">
        <v>15</v>
      </c>
      <c r="L449" s="8">
        <v>13.74</v>
      </c>
      <c r="M449" s="8">
        <v>938.26</v>
      </c>
      <c r="N449" s="8" t="s">
        <v>10</v>
      </c>
      <c r="O449" s="8" t="s">
        <v>18</v>
      </c>
      <c r="P449" s="9">
        <v>45034</v>
      </c>
      <c r="Q449" s="8" t="s">
        <v>29</v>
      </c>
      <c r="R449" s="10">
        <v>1</v>
      </c>
    </row>
    <row r="450" spans="1:18" x14ac:dyDescent="0.3">
      <c r="A450" s="7" t="s">
        <v>484</v>
      </c>
      <c r="B450" s="8" t="s">
        <v>24</v>
      </c>
      <c r="C450" s="8">
        <v>63</v>
      </c>
      <c r="D450" s="8" t="s">
        <v>31</v>
      </c>
      <c r="E450" s="8" t="s">
        <v>21</v>
      </c>
      <c r="F450" s="8">
        <v>54290</v>
      </c>
      <c r="G450" s="8" t="s">
        <v>8</v>
      </c>
      <c r="H450" s="8">
        <v>400</v>
      </c>
      <c r="I450" s="8" t="s">
        <v>9</v>
      </c>
      <c r="J450" s="8">
        <v>1504776</v>
      </c>
      <c r="K450" s="8">
        <v>15</v>
      </c>
      <c r="L450" s="8">
        <v>8.4700000000000006</v>
      </c>
      <c r="M450" s="8">
        <v>708.08</v>
      </c>
      <c r="N450" s="8" t="s">
        <v>8</v>
      </c>
      <c r="O450" s="8" t="s">
        <v>28</v>
      </c>
      <c r="P450" s="9">
        <v>45460</v>
      </c>
      <c r="Q450" s="8" t="s">
        <v>12</v>
      </c>
      <c r="R450" s="10">
        <v>0</v>
      </c>
    </row>
    <row r="451" spans="1:18" x14ac:dyDescent="0.3">
      <c r="A451" s="7" t="s">
        <v>485</v>
      </c>
      <c r="B451" s="8" t="s">
        <v>52</v>
      </c>
      <c r="C451" s="8">
        <v>48</v>
      </c>
      <c r="D451" s="8" t="s">
        <v>31</v>
      </c>
      <c r="E451" s="8" t="s">
        <v>7</v>
      </c>
      <c r="F451" s="8">
        <v>120776</v>
      </c>
      <c r="G451" s="8" t="s">
        <v>15</v>
      </c>
      <c r="H451" s="8">
        <v>656</v>
      </c>
      <c r="I451" s="8" t="s">
        <v>16</v>
      </c>
      <c r="J451" s="8">
        <v>847186</v>
      </c>
      <c r="K451" s="8">
        <v>15</v>
      </c>
      <c r="L451" s="8">
        <v>8.01</v>
      </c>
      <c r="M451" s="8">
        <v>377</v>
      </c>
      <c r="N451" s="8" t="s">
        <v>10</v>
      </c>
      <c r="O451" s="8" t="s">
        <v>28</v>
      </c>
      <c r="P451" s="9">
        <v>44788</v>
      </c>
      <c r="Q451" s="8" t="s">
        <v>12</v>
      </c>
      <c r="R451" s="10">
        <v>0</v>
      </c>
    </row>
    <row r="452" spans="1:18" x14ac:dyDescent="0.3">
      <c r="A452" s="7" t="s">
        <v>486</v>
      </c>
      <c r="B452" s="8" t="s">
        <v>14</v>
      </c>
      <c r="C452" s="8">
        <v>61</v>
      </c>
      <c r="D452" s="8" t="s">
        <v>31</v>
      </c>
      <c r="E452" s="8" t="s">
        <v>21</v>
      </c>
      <c r="F452" s="8">
        <v>119957</v>
      </c>
      <c r="G452" s="8" t="s">
        <v>25</v>
      </c>
      <c r="H452" s="8">
        <v>643</v>
      </c>
      <c r="I452" s="8" t="s">
        <v>16</v>
      </c>
      <c r="J452" s="8">
        <v>1723081</v>
      </c>
      <c r="K452" s="8">
        <v>5</v>
      </c>
      <c r="L452" s="8">
        <v>7.51</v>
      </c>
      <c r="M452" s="8">
        <v>2156.7199999999998</v>
      </c>
      <c r="N452" s="8" t="s">
        <v>17</v>
      </c>
      <c r="O452" s="8" t="s">
        <v>18</v>
      </c>
      <c r="P452" s="9">
        <v>45392</v>
      </c>
      <c r="Q452" s="8" t="s">
        <v>43</v>
      </c>
      <c r="R452" s="10">
        <v>0</v>
      </c>
    </row>
    <row r="453" spans="1:18" x14ac:dyDescent="0.3">
      <c r="A453" s="7" t="s">
        <v>487</v>
      </c>
      <c r="B453" s="8" t="s">
        <v>14</v>
      </c>
      <c r="C453" s="8">
        <v>29</v>
      </c>
      <c r="D453" s="8" t="s">
        <v>34</v>
      </c>
      <c r="E453" s="8" t="s">
        <v>21</v>
      </c>
      <c r="F453" s="8">
        <v>44571</v>
      </c>
      <c r="G453" s="8" t="s">
        <v>15</v>
      </c>
      <c r="H453" s="8">
        <v>475</v>
      </c>
      <c r="I453" s="8" t="s">
        <v>9</v>
      </c>
      <c r="J453" s="8">
        <v>230524</v>
      </c>
      <c r="K453" s="8">
        <v>10</v>
      </c>
      <c r="L453" s="8">
        <v>8.65</v>
      </c>
      <c r="M453" s="8">
        <v>166.17</v>
      </c>
      <c r="N453" s="8" t="s">
        <v>27</v>
      </c>
      <c r="O453" s="8" t="s">
        <v>28</v>
      </c>
      <c r="P453" s="9">
        <v>44991</v>
      </c>
      <c r="Q453" s="8" t="s">
        <v>43</v>
      </c>
      <c r="R453" s="10">
        <v>0</v>
      </c>
    </row>
    <row r="454" spans="1:18" x14ac:dyDescent="0.3">
      <c r="A454" s="7" t="s">
        <v>488</v>
      </c>
      <c r="B454" s="8" t="s">
        <v>20</v>
      </c>
      <c r="C454" s="8">
        <v>64</v>
      </c>
      <c r="D454" s="8" t="s">
        <v>31</v>
      </c>
      <c r="E454" s="8" t="s">
        <v>21</v>
      </c>
      <c r="F454" s="8">
        <v>130100</v>
      </c>
      <c r="G454" s="8" t="s">
        <v>15</v>
      </c>
      <c r="H454" s="8">
        <v>563</v>
      </c>
      <c r="I454" s="8" t="s">
        <v>16</v>
      </c>
      <c r="J454" s="8">
        <v>329965</v>
      </c>
      <c r="K454" s="8">
        <v>10</v>
      </c>
      <c r="L454" s="8">
        <v>12.68</v>
      </c>
      <c r="M454" s="8">
        <v>348.66</v>
      </c>
      <c r="N454" s="8" t="s">
        <v>42</v>
      </c>
      <c r="O454" s="8" t="s">
        <v>22</v>
      </c>
      <c r="P454" s="9">
        <v>44711</v>
      </c>
      <c r="Q454" s="8" t="s">
        <v>29</v>
      </c>
      <c r="R454" s="10">
        <v>1</v>
      </c>
    </row>
    <row r="455" spans="1:18" x14ac:dyDescent="0.3">
      <c r="A455" s="7" t="s">
        <v>489</v>
      </c>
      <c r="B455" s="8" t="s">
        <v>47</v>
      </c>
      <c r="C455" s="8">
        <v>60</v>
      </c>
      <c r="D455" s="8" t="s">
        <v>31</v>
      </c>
      <c r="E455" s="8" t="s">
        <v>21</v>
      </c>
      <c r="F455" s="8">
        <v>141148</v>
      </c>
      <c r="G455" s="8" t="s">
        <v>25</v>
      </c>
      <c r="H455" s="8">
        <v>550</v>
      </c>
      <c r="I455" s="8" t="s">
        <v>16</v>
      </c>
      <c r="J455" s="8">
        <v>1176512</v>
      </c>
      <c r="K455" s="8">
        <v>15</v>
      </c>
      <c r="L455" s="8">
        <v>11.93</v>
      </c>
      <c r="M455" s="8">
        <v>779.77</v>
      </c>
      <c r="N455" s="8" t="s">
        <v>27</v>
      </c>
      <c r="O455" s="8" t="s">
        <v>11</v>
      </c>
      <c r="P455" s="9">
        <v>45297</v>
      </c>
      <c r="Q455" s="8" t="s">
        <v>12</v>
      </c>
      <c r="R455" s="10">
        <v>0</v>
      </c>
    </row>
    <row r="456" spans="1:18" x14ac:dyDescent="0.3">
      <c r="A456" s="7" t="s">
        <v>490</v>
      </c>
      <c r="B456" s="8" t="s">
        <v>20</v>
      </c>
      <c r="C456" s="8">
        <v>24</v>
      </c>
      <c r="D456" s="8" t="s">
        <v>34</v>
      </c>
      <c r="E456" s="8" t="s">
        <v>7</v>
      </c>
      <c r="F456" s="8">
        <v>44578</v>
      </c>
      <c r="G456" s="8" t="s">
        <v>8</v>
      </c>
      <c r="H456" s="8">
        <v>539</v>
      </c>
      <c r="I456" s="8" t="s">
        <v>9</v>
      </c>
      <c r="J456" s="8">
        <v>258260</v>
      </c>
      <c r="K456" s="8">
        <v>5</v>
      </c>
      <c r="L456" s="8">
        <v>11.39</v>
      </c>
      <c r="M456" s="8">
        <v>490.26</v>
      </c>
      <c r="N456" s="8" t="s">
        <v>17</v>
      </c>
      <c r="O456" s="8" t="s">
        <v>18</v>
      </c>
      <c r="P456" s="9">
        <v>45278</v>
      </c>
      <c r="Q456" s="8" t="s">
        <v>12</v>
      </c>
      <c r="R456" s="10">
        <v>0</v>
      </c>
    </row>
    <row r="457" spans="1:18" x14ac:dyDescent="0.3">
      <c r="A457" s="7" t="s">
        <v>491</v>
      </c>
      <c r="B457" s="8" t="s">
        <v>24</v>
      </c>
      <c r="C457" s="8">
        <v>61</v>
      </c>
      <c r="D457" s="8" t="s">
        <v>31</v>
      </c>
      <c r="E457" s="8" t="s">
        <v>7</v>
      </c>
      <c r="F457" s="8">
        <v>86597</v>
      </c>
      <c r="G457" s="8" t="s">
        <v>15</v>
      </c>
      <c r="H457" s="8">
        <v>761</v>
      </c>
      <c r="I457" s="8" t="s">
        <v>40</v>
      </c>
      <c r="J457" s="8">
        <v>1355241</v>
      </c>
      <c r="K457" s="8">
        <v>10</v>
      </c>
      <c r="L457" s="8">
        <v>13.52</v>
      </c>
      <c r="M457" s="8">
        <v>1526.9</v>
      </c>
      <c r="N457" s="8" t="s">
        <v>42</v>
      </c>
      <c r="O457" s="8" t="s">
        <v>18</v>
      </c>
      <c r="P457" s="9">
        <v>44995</v>
      </c>
      <c r="Q457" s="8" t="s">
        <v>29</v>
      </c>
      <c r="R457" s="10">
        <v>1</v>
      </c>
    </row>
    <row r="458" spans="1:18" x14ac:dyDescent="0.3">
      <c r="A458" s="7" t="s">
        <v>492</v>
      </c>
      <c r="B458" s="8" t="s">
        <v>47</v>
      </c>
      <c r="C458" s="8">
        <v>35</v>
      </c>
      <c r="D458" s="8" t="s">
        <v>6</v>
      </c>
      <c r="E458" s="8" t="s">
        <v>21</v>
      </c>
      <c r="F458" s="8">
        <v>110262</v>
      </c>
      <c r="G458" s="8" t="s">
        <v>8</v>
      </c>
      <c r="H458" s="8">
        <v>392</v>
      </c>
      <c r="I458" s="8" t="s">
        <v>9</v>
      </c>
      <c r="J458" s="8">
        <v>927757</v>
      </c>
      <c r="K458" s="8">
        <v>10</v>
      </c>
      <c r="L458" s="8">
        <v>10.84</v>
      </c>
      <c r="M458" s="8">
        <v>838.07</v>
      </c>
      <c r="N458" s="8" t="s">
        <v>17</v>
      </c>
      <c r="O458" s="8" t="s">
        <v>11</v>
      </c>
      <c r="P458" s="9">
        <v>45399</v>
      </c>
      <c r="Q458" s="8" t="s">
        <v>12</v>
      </c>
      <c r="R458" s="10">
        <v>0</v>
      </c>
    </row>
    <row r="459" spans="1:18" x14ac:dyDescent="0.3">
      <c r="A459" s="7" t="s">
        <v>493</v>
      </c>
      <c r="B459" s="8" t="s">
        <v>39</v>
      </c>
      <c r="C459" s="8">
        <v>32</v>
      </c>
      <c r="D459" s="8" t="s">
        <v>6</v>
      </c>
      <c r="E459" s="8" t="s">
        <v>7</v>
      </c>
      <c r="F459" s="8">
        <v>145952</v>
      </c>
      <c r="G459" s="8" t="s">
        <v>8</v>
      </c>
      <c r="H459" s="8">
        <v>810</v>
      </c>
      <c r="I459" s="8" t="s">
        <v>40</v>
      </c>
      <c r="J459" s="8">
        <v>119901</v>
      </c>
      <c r="K459" s="8">
        <v>20</v>
      </c>
      <c r="L459" s="8">
        <v>12.33</v>
      </c>
      <c r="M459" s="8">
        <v>61.6</v>
      </c>
      <c r="N459" s="8" t="s">
        <v>10</v>
      </c>
      <c r="O459" s="8" t="s">
        <v>22</v>
      </c>
      <c r="P459" s="9">
        <v>45093</v>
      </c>
      <c r="Q459" s="8" t="s">
        <v>12</v>
      </c>
      <c r="R459" s="10">
        <v>0</v>
      </c>
    </row>
    <row r="460" spans="1:18" x14ac:dyDescent="0.3">
      <c r="A460" s="7" t="s">
        <v>494</v>
      </c>
      <c r="B460" s="8" t="s">
        <v>33</v>
      </c>
      <c r="C460" s="8">
        <v>21</v>
      </c>
      <c r="D460" s="8" t="s">
        <v>34</v>
      </c>
      <c r="E460" s="8" t="s">
        <v>21</v>
      </c>
      <c r="F460" s="8">
        <v>137523</v>
      </c>
      <c r="G460" s="8" t="s">
        <v>15</v>
      </c>
      <c r="H460" s="8">
        <v>454</v>
      </c>
      <c r="I460" s="8" t="s">
        <v>9</v>
      </c>
      <c r="J460" s="8">
        <v>526956</v>
      </c>
      <c r="K460" s="8">
        <v>20</v>
      </c>
      <c r="L460" s="8">
        <v>14.52</v>
      </c>
      <c r="M460" s="8">
        <v>318.81</v>
      </c>
      <c r="N460" s="8" t="s">
        <v>8</v>
      </c>
      <c r="O460" s="8" t="s">
        <v>18</v>
      </c>
      <c r="P460" s="9">
        <v>44874</v>
      </c>
      <c r="Q460" s="8" t="s">
        <v>12</v>
      </c>
      <c r="R460" s="10">
        <v>0</v>
      </c>
    </row>
    <row r="461" spans="1:18" x14ac:dyDescent="0.3">
      <c r="A461" s="7" t="s">
        <v>495</v>
      </c>
      <c r="B461" s="8" t="s">
        <v>5</v>
      </c>
      <c r="C461" s="8">
        <v>44</v>
      </c>
      <c r="D461" s="8" t="s">
        <v>6</v>
      </c>
      <c r="E461" s="8" t="s">
        <v>7</v>
      </c>
      <c r="F461" s="8">
        <v>35591</v>
      </c>
      <c r="G461" s="8" t="s">
        <v>8</v>
      </c>
      <c r="H461" s="8">
        <v>372</v>
      </c>
      <c r="I461" s="8" t="s">
        <v>9</v>
      </c>
      <c r="J461" s="8">
        <v>824559</v>
      </c>
      <c r="K461" s="8">
        <v>20</v>
      </c>
      <c r="L461" s="8">
        <v>8.5399999999999991</v>
      </c>
      <c r="M461" s="8">
        <v>293.41000000000003</v>
      </c>
      <c r="N461" s="8" t="s">
        <v>10</v>
      </c>
      <c r="O461" s="8" t="s">
        <v>11</v>
      </c>
      <c r="P461" s="9">
        <v>44939</v>
      </c>
      <c r="Q461" s="8" t="s">
        <v>12</v>
      </c>
      <c r="R461" s="10">
        <v>0</v>
      </c>
    </row>
    <row r="462" spans="1:18" x14ac:dyDescent="0.3">
      <c r="A462" s="7" t="s">
        <v>496</v>
      </c>
      <c r="B462" s="8" t="s">
        <v>47</v>
      </c>
      <c r="C462" s="8">
        <v>64</v>
      </c>
      <c r="D462" s="8" t="s">
        <v>31</v>
      </c>
      <c r="E462" s="8" t="s">
        <v>7</v>
      </c>
      <c r="F462" s="8">
        <v>44258</v>
      </c>
      <c r="G462" s="8" t="s">
        <v>25</v>
      </c>
      <c r="H462" s="8">
        <v>734</v>
      </c>
      <c r="I462" s="8" t="s">
        <v>40</v>
      </c>
      <c r="J462" s="8">
        <v>428793</v>
      </c>
      <c r="K462" s="8">
        <v>10</v>
      </c>
      <c r="L462" s="8">
        <v>10.210000000000001</v>
      </c>
      <c r="M462" s="8">
        <v>364.83</v>
      </c>
      <c r="N462" s="8" t="s">
        <v>8</v>
      </c>
      <c r="O462" s="8" t="s">
        <v>28</v>
      </c>
      <c r="P462" s="9">
        <v>45158</v>
      </c>
      <c r="Q462" s="8" t="s">
        <v>12</v>
      </c>
      <c r="R462" s="10">
        <v>0</v>
      </c>
    </row>
    <row r="463" spans="1:18" x14ac:dyDescent="0.3">
      <c r="A463" s="7" t="s">
        <v>497</v>
      </c>
      <c r="B463" s="8" t="s">
        <v>33</v>
      </c>
      <c r="C463" s="8">
        <v>65</v>
      </c>
      <c r="D463" s="8" t="s">
        <v>31</v>
      </c>
      <c r="E463" s="8" t="s">
        <v>7</v>
      </c>
      <c r="F463" s="8">
        <v>35812</v>
      </c>
      <c r="G463" s="8" t="s">
        <v>25</v>
      </c>
      <c r="H463" s="8">
        <v>662</v>
      </c>
      <c r="I463" s="8" t="s">
        <v>16</v>
      </c>
      <c r="J463" s="8">
        <v>870004</v>
      </c>
      <c r="K463" s="8">
        <v>20</v>
      </c>
      <c r="L463" s="8">
        <v>8.49</v>
      </c>
      <c r="M463" s="8">
        <v>307.76</v>
      </c>
      <c r="N463" s="8" t="s">
        <v>10</v>
      </c>
      <c r="O463" s="8" t="s">
        <v>18</v>
      </c>
      <c r="P463" s="9">
        <v>44564</v>
      </c>
      <c r="Q463" s="8" t="s">
        <v>12</v>
      </c>
      <c r="R463" s="10">
        <v>0</v>
      </c>
    </row>
    <row r="464" spans="1:18" x14ac:dyDescent="0.3">
      <c r="A464" s="7" t="s">
        <v>498</v>
      </c>
      <c r="B464" s="8" t="s">
        <v>33</v>
      </c>
      <c r="C464" s="8">
        <v>43</v>
      </c>
      <c r="D464" s="8" t="s">
        <v>6</v>
      </c>
      <c r="E464" s="8" t="s">
        <v>7</v>
      </c>
      <c r="F464" s="8">
        <v>70580</v>
      </c>
      <c r="G464" s="8" t="s">
        <v>8</v>
      </c>
      <c r="H464" s="8">
        <v>515</v>
      </c>
      <c r="I464" s="8" t="s">
        <v>9</v>
      </c>
      <c r="J464" s="8">
        <v>1999921</v>
      </c>
      <c r="K464" s="8">
        <v>10</v>
      </c>
      <c r="L464" s="8">
        <v>11.64</v>
      </c>
      <c r="M464" s="8">
        <v>1939.92</v>
      </c>
      <c r="N464" s="8" t="s">
        <v>42</v>
      </c>
      <c r="O464" s="8" t="s">
        <v>22</v>
      </c>
      <c r="P464" s="9">
        <v>45061</v>
      </c>
      <c r="Q464" s="8" t="s">
        <v>12</v>
      </c>
      <c r="R464" s="10">
        <v>0</v>
      </c>
    </row>
    <row r="465" spans="1:18" x14ac:dyDescent="0.3">
      <c r="A465" s="7" t="s">
        <v>499</v>
      </c>
      <c r="B465" s="8" t="s">
        <v>5</v>
      </c>
      <c r="C465" s="8">
        <v>28</v>
      </c>
      <c r="D465" s="8" t="s">
        <v>34</v>
      </c>
      <c r="E465" s="8" t="s">
        <v>21</v>
      </c>
      <c r="F465" s="8">
        <v>135796</v>
      </c>
      <c r="G465" s="8" t="s">
        <v>25</v>
      </c>
      <c r="H465" s="8">
        <v>573</v>
      </c>
      <c r="I465" s="8" t="s">
        <v>16</v>
      </c>
      <c r="J465" s="8">
        <v>1027861</v>
      </c>
      <c r="K465" s="8">
        <v>5</v>
      </c>
      <c r="L465" s="8">
        <v>9.84</v>
      </c>
      <c r="M465" s="8">
        <v>1685.69</v>
      </c>
      <c r="N465" s="8" t="s">
        <v>42</v>
      </c>
      <c r="O465" s="8" t="s">
        <v>11</v>
      </c>
      <c r="P465" s="9">
        <v>44696</v>
      </c>
      <c r="Q465" s="8" t="s">
        <v>12</v>
      </c>
      <c r="R465" s="10">
        <v>0</v>
      </c>
    </row>
    <row r="466" spans="1:18" x14ac:dyDescent="0.3">
      <c r="A466" s="7" t="s">
        <v>500</v>
      </c>
      <c r="B466" s="8" t="s">
        <v>14</v>
      </c>
      <c r="C466" s="8">
        <v>36</v>
      </c>
      <c r="D466" s="8" t="s">
        <v>6</v>
      </c>
      <c r="E466" s="8" t="s">
        <v>7</v>
      </c>
      <c r="F466" s="8">
        <v>39911</v>
      </c>
      <c r="G466" s="8" t="s">
        <v>25</v>
      </c>
      <c r="H466" s="8">
        <v>363</v>
      </c>
      <c r="I466" s="8" t="s">
        <v>9</v>
      </c>
      <c r="J466" s="8">
        <v>327599</v>
      </c>
      <c r="K466" s="8">
        <v>15</v>
      </c>
      <c r="L466" s="8">
        <v>13.31</v>
      </c>
      <c r="M466" s="8">
        <v>242.24</v>
      </c>
      <c r="N466" s="8" t="s">
        <v>27</v>
      </c>
      <c r="O466" s="8" t="s">
        <v>22</v>
      </c>
      <c r="P466" s="9">
        <v>45435</v>
      </c>
      <c r="Q466" s="8" t="s">
        <v>29</v>
      </c>
      <c r="R466" s="10">
        <v>1</v>
      </c>
    </row>
    <row r="467" spans="1:18" x14ac:dyDescent="0.3">
      <c r="A467" s="7" t="s">
        <v>501</v>
      </c>
      <c r="B467" s="8" t="s">
        <v>36</v>
      </c>
      <c r="C467" s="8">
        <v>63</v>
      </c>
      <c r="D467" s="8" t="s">
        <v>31</v>
      </c>
      <c r="E467" s="8" t="s">
        <v>7</v>
      </c>
      <c r="F467" s="8">
        <v>67442</v>
      </c>
      <c r="G467" s="8" t="s">
        <v>8</v>
      </c>
      <c r="H467" s="8">
        <v>321</v>
      </c>
      <c r="I467" s="8" t="s">
        <v>9</v>
      </c>
      <c r="J467" s="8">
        <v>1095406</v>
      </c>
      <c r="K467" s="8">
        <v>10</v>
      </c>
      <c r="L467" s="8">
        <v>9.18</v>
      </c>
      <c r="M467" s="8">
        <v>837.99</v>
      </c>
      <c r="N467" s="8" t="s">
        <v>27</v>
      </c>
      <c r="O467" s="8" t="s">
        <v>28</v>
      </c>
      <c r="P467" s="9">
        <v>45318</v>
      </c>
      <c r="Q467" s="8" t="s">
        <v>43</v>
      </c>
      <c r="R467" s="10">
        <v>0</v>
      </c>
    </row>
    <row r="468" spans="1:18" x14ac:dyDescent="0.3">
      <c r="A468" s="7" t="s">
        <v>502</v>
      </c>
      <c r="B468" s="8" t="s">
        <v>20</v>
      </c>
      <c r="C468" s="8">
        <v>31</v>
      </c>
      <c r="D468" s="8" t="s">
        <v>6</v>
      </c>
      <c r="E468" s="8" t="s">
        <v>21</v>
      </c>
      <c r="F468" s="8">
        <v>128495</v>
      </c>
      <c r="G468" s="8" t="s">
        <v>15</v>
      </c>
      <c r="H468" s="8">
        <v>650</v>
      </c>
      <c r="I468" s="8" t="s">
        <v>16</v>
      </c>
      <c r="J468" s="8">
        <v>1757848</v>
      </c>
      <c r="K468" s="8">
        <v>10</v>
      </c>
      <c r="L468" s="8">
        <v>11.77</v>
      </c>
      <c r="M468" s="8">
        <v>1724.16</v>
      </c>
      <c r="N468" s="8" t="s">
        <v>17</v>
      </c>
      <c r="O468" s="8" t="s">
        <v>28</v>
      </c>
      <c r="P468" s="9">
        <v>44739</v>
      </c>
      <c r="Q468" s="8" t="s">
        <v>12</v>
      </c>
      <c r="R468" s="10">
        <v>0</v>
      </c>
    </row>
    <row r="469" spans="1:18" x14ac:dyDescent="0.3">
      <c r="A469" s="7" t="s">
        <v>503</v>
      </c>
      <c r="B469" s="8" t="s">
        <v>20</v>
      </c>
      <c r="C469" s="8">
        <v>50</v>
      </c>
      <c r="D469" s="8" t="s">
        <v>31</v>
      </c>
      <c r="E469" s="8" t="s">
        <v>7</v>
      </c>
      <c r="F469" s="8">
        <v>107301</v>
      </c>
      <c r="G469" s="8" t="s">
        <v>8</v>
      </c>
      <c r="H469" s="8">
        <v>459</v>
      </c>
      <c r="I469" s="8" t="s">
        <v>9</v>
      </c>
      <c r="J469" s="8">
        <v>202256</v>
      </c>
      <c r="K469" s="8">
        <v>20</v>
      </c>
      <c r="L469" s="8">
        <v>10.14</v>
      </c>
      <c r="M469" s="8">
        <v>85.45</v>
      </c>
      <c r="N469" s="8" t="s">
        <v>17</v>
      </c>
      <c r="O469" s="8" t="s">
        <v>11</v>
      </c>
      <c r="P469" s="9">
        <v>44719</v>
      </c>
      <c r="Q469" s="8" t="s">
        <v>12</v>
      </c>
      <c r="R469" s="10">
        <v>0</v>
      </c>
    </row>
    <row r="470" spans="1:18" x14ac:dyDescent="0.3">
      <c r="A470" s="7" t="s">
        <v>504</v>
      </c>
      <c r="B470" s="8" t="s">
        <v>36</v>
      </c>
      <c r="C470" s="8">
        <v>36</v>
      </c>
      <c r="D470" s="8" t="s">
        <v>6</v>
      </c>
      <c r="E470" s="8" t="s">
        <v>7</v>
      </c>
      <c r="F470" s="8">
        <v>118941</v>
      </c>
      <c r="G470" s="8" t="s">
        <v>15</v>
      </c>
      <c r="H470" s="8">
        <v>637</v>
      </c>
      <c r="I470" s="8" t="s">
        <v>16</v>
      </c>
      <c r="J470" s="8">
        <v>175519</v>
      </c>
      <c r="K470" s="8">
        <v>15</v>
      </c>
      <c r="L470" s="8">
        <v>11.5</v>
      </c>
      <c r="M470" s="8">
        <v>112.14</v>
      </c>
      <c r="N470" s="8" t="s">
        <v>42</v>
      </c>
      <c r="O470" s="8" t="s">
        <v>22</v>
      </c>
      <c r="P470" s="9">
        <v>45264</v>
      </c>
      <c r="Q470" s="8" t="s">
        <v>12</v>
      </c>
      <c r="R470" s="10">
        <v>0</v>
      </c>
    </row>
    <row r="471" spans="1:18" x14ac:dyDescent="0.3">
      <c r="A471" s="7" t="s">
        <v>505</v>
      </c>
      <c r="B471" s="8" t="s">
        <v>14</v>
      </c>
      <c r="C471" s="8">
        <v>58</v>
      </c>
      <c r="D471" s="8" t="s">
        <v>31</v>
      </c>
      <c r="E471" s="8" t="s">
        <v>7</v>
      </c>
      <c r="F471" s="8">
        <v>20323</v>
      </c>
      <c r="G471" s="8" t="s">
        <v>15</v>
      </c>
      <c r="H471" s="8">
        <v>691</v>
      </c>
      <c r="I471" s="8" t="s">
        <v>16</v>
      </c>
      <c r="J471" s="8">
        <v>1367172</v>
      </c>
      <c r="K471" s="8">
        <v>10</v>
      </c>
      <c r="L471" s="8">
        <v>12.09</v>
      </c>
      <c r="M471" s="8">
        <v>1377.43</v>
      </c>
      <c r="N471" s="8" t="s">
        <v>42</v>
      </c>
      <c r="O471" s="8" t="s">
        <v>18</v>
      </c>
      <c r="P471" s="9">
        <v>45139</v>
      </c>
      <c r="Q471" s="8" t="s">
        <v>43</v>
      </c>
      <c r="R471" s="10">
        <v>0</v>
      </c>
    </row>
    <row r="472" spans="1:18" x14ac:dyDescent="0.3">
      <c r="A472" s="7" t="s">
        <v>506</v>
      </c>
      <c r="B472" s="8" t="s">
        <v>45</v>
      </c>
      <c r="C472" s="8">
        <v>47</v>
      </c>
      <c r="D472" s="8" t="s">
        <v>31</v>
      </c>
      <c r="E472" s="8" t="s">
        <v>7</v>
      </c>
      <c r="F472" s="8">
        <v>129540</v>
      </c>
      <c r="G472" s="8" t="s">
        <v>15</v>
      </c>
      <c r="H472" s="8">
        <v>738</v>
      </c>
      <c r="I472" s="8" t="s">
        <v>40</v>
      </c>
      <c r="J472" s="8">
        <v>338568</v>
      </c>
      <c r="K472" s="8">
        <v>15</v>
      </c>
      <c r="L472" s="8">
        <v>9.02</v>
      </c>
      <c r="M472" s="8">
        <v>169.66</v>
      </c>
      <c r="N472" s="8" t="s">
        <v>17</v>
      </c>
      <c r="O472" s="8" t="s">
        <v>11</v>
      </c>
      <c r="P472" s="9">
        <v>44663</v>
      </c>
      <c r="Q472" s="8" t="s">
        <v>12</v>
      </c>
      <c r="R472" s="10">
        <v>0</v>
      </c>
    </row>
    <row r="473" spans="1:18" x14ac:dyDescent="0.3">
      <c r="A473" s="7" t="s">
        <v>507</v>
      </c>
      <c r="B473" s="8" t="s">
        <v>24</v>
      </c>
      <c r="C473" s="8">
        <v>33</v>
      </c>
      <c r="D473" s="8" t="s">
        <v>6</v>
      </c>
      <c r="E473" s="8" t="s">
        <v>21</v>
      </c>
      <c r="F473" s="8">
        <v>142808</v>
      </c>
      <c r="G473" s="8" t="s">
        <v>8</v>
      </c>
      <c r="H473" s="8">
        <v>427</v>
      </c>
      <c r="I473" s="8" t="s">
        <v>9</v>
      </c>
      <c r="J473" s="8">
        <v>796706</v>
      </c>
      <c r="K473" s="8">
        <v>5</v>
      </c>
      <c r="L473" s="8">
        <v>11.33</v>
      </c>
      <c r="M473" s="8">
        <v>1504.45</v>
      </c>
      <c r="N473" s="8" t="s">
        <v>27</v>
      </c>
      <c r="O473" s="8" t="s">
        <v>18</v>
      </c>
      <c r="P473" s="9">
        <v>45049</v>
      </c>
      <c r="Q473" s="8" t="s">
        <v>12</v>
      </c>
      <c r="R473" s="10">
        <v>0</v>
      </c>
    </row>
    <row r="474" spans="1:18" x14ac:dyDescent="0.3">
      <c r="A474" s="7" t="s">
        <v>508</v>
      </c>
      <c r="B474" s="8" t="s">
        <v>24</v>
      </c>
      <c r="C474" s="8">
        <v>43</v>
      </c>
      <c r="D474" s="8" t="s">
        <v>6</v>
      </c>
      <c r="E474" s="8" t="s">
        <v>7</v>
      </c>
      <c r="F474" s="8">
        <v>58561</v>
      </c>
      <c r="G474" s="8" t="s">
        <v>8</v>
      </c>
      <c r="H474" s="8">
        <v>638</v>
      </c>
      <c r="I474" s="8" t="s">
        <v>16</v>
      </c>
      <c r="J474" s="8">
        <v>1921696</v>
      </c>
      <c r="K474" s="8">
        <v>5</v>
      </c>
      <c r="L474" s="8">
        <v>8.81</v>
      </c>
      <c r="M474" s="8">
        <v>2821.69</v>
      </c>
      <c r="N474" s="8" t="s">
        <v>10</v>
      </c>
      <c r="O474" s="8" t="s">
        <v>28</v>
      </c>
      <c r="P474" s="9">
        <v>44786</v>
      </c>
      <c r="Q474" s="8" t="s">
        <v>12</v>
      </c>
      <c r="R474" s="10">
        <v>0</v>
      </c>
    </row>
    <row r="475" spans="1:18" x14ac:dyDescent="0.3">
      <c r="A475" s="7" t="s">
        <v>509</v>
      </c>
      <c r="B475" s="8" t="s">
        <v>47</v>
      </c>
      <c r="C475" s="8">
        <v>52</v>
      </c>
      <c r="D475" s="8" t="s">
        <v>31</v>
      </c>
      <c r="E475" s="8" t="s">
        <v>7</v>
      </c>
      <c r="F475" s="8">
        <v>28058</v>
      </c>
      <c r="G475" s="8" t="s">
        <v>8</v>
      </c>
      <c r="H475" s="8">
        <v>565</v>
      </c>
      <c r="I475" s="8" t="s">
        <v>16</v>
      </c>
      <c r="J475" s="8">
        <v>124001</v>
      </c>
      <c r="K475" s="8">
        <v>20</v>
      </c>
      <c r="L475" s="8">
        <v>10.95</v>
      </c>
      <c r="M475" s="8">
        <v>56.58</v>
      </c>
      <c r="N475" s="8" t="s">
        <v>17</v>
      </c>
      <c r="O475" s="8" t="s">
        <v>18</v>
      </c>
      <c r="P475" s="9">
        <v>45008</v>
      </c>
      <c r="Q475" s="8" t="s">
        <v>12</v>
      </c>
      <c r="R475" s="10">
        <v>0</v>
      </c>
    </row>
    <row r="476" spans="1:18" x14ac:dyDescent="0.3">
      <c r="A476" s="7" t="s">
        <v>510</v>
      </c>
      <c r="B476" s="8" t="s">
        <v>39</v>
      </c>
      <c r="C476" s="8">
        <v>32</v>
      </c>
      <c r="D476" s="8" t="s">
        <v>6</v>
      </c>
      <c r="E476" s="8" t="s">
        <v>21</v>
      </c>
      <c r="F476" s="8">
        <v>111005</v>
      </c>
      <c r="G476" s="8" t="s">
        <v>15</v>
      </c>
      <c r="H476" s="8">
        <v>440</v>
      </c>
      <c r="I476" s="8" t="s">
        <v>9</v>
      </c>
      <c r="J476" s="8">
        <v>1918204</v>
      </c>
      <c r="K476" s="8">
        <v>10</v>
      </c>
      <c r="L476" s="8">
        <v>9.32</v>
      </c>
      <c r="M476" s="8">
        <v>1489.81</v>
      </c>
      <c r="N476" s="8" t="s">
        <v>42</v>
      </c>
      <c r="O476" s="8" t="s">
        <v>22</v>
      </c>
      <c r="P476" s="9">
        <v>44609</v>
      </c>
      <c r="Q476" s="8" t="s">
        <v>12</v>
      </c>
      <c r="R476" s="10">
        <v>0</v>
      </c>
    </row>
    <row r="477" spans="1:18" x14ac:dyDescent="0.3">
      <c r="A477" s="7" t="s">
        <v>511</v>
      </c>
      <c r="B477" s="8" t="s">
        <v>5</v>
      </c>
      <c r="C477" s="8">
        <v>64</v>
      </c>
      <c r="D477" s="8" t="s">
        <v>31</v>
      </c>
      <c r="E477" s="8" t="s">
        <v>21</v>
      </c>
      <c r="F477" s="8">
        <v>51191</v>
      </c>
      <c r="G477" s="8" t="s">
        <v>8</v>
      </c>
      <c r="H477" s="8">
        <v>490</v>
      </c>
      <c r="I477" s="8" t="s">
        <v>9</v>
      </c>
      <c r="J477" s="8">
        <v>1651670</v>
      </c>
      <c r="K477" s="8">
        <v>20</v>
      </c>
      <c r="L477" s="8">
        <v>8.39</v>
      </c>
      <c r="M477" s="8">
        <v>577.4</v>
      </c>
      <c r="N477" s="8" t="s">
        <v>27</v>
      </c>
      <c r="O477" s="8" t="s">
        <v>28</v>
      </c>
      <c r="P477" s="9">
        <v>44755</v>
      </c>
      <c r="Q477" s="8" t="s">
        <v>12</v>
      </c>
      <c r="R477" s="10">
        <v>0</v>
      </c>
    </row>
    <row r="478" spans="1:18" x14ac:dyDescent="0.3">
      <c r="A478" s="7" t="s">
        <v>512</v>
      </c>
      <c r="B478" s="8" t="s">
        <v>52</v>
      </c>
      <c r="C478" s="8">
        <v>42</v>
      </c>
      <c r="D478" s="8" t="s">
        <v>6</v>
      </c>
      <c r="E478" s="8" t="s">
        <v>7</v>
      </c>
      <c r="F478" s="8">
        <v>42575</v>
      </c>
      <c r="G478" s="8" t="s">
        <v>8</v>
      </c>
      <c r="H478" s="8">
        <v>385</v>
      </c>
      <c r="I478" s="8" t="s">
        <v>9</v>
      </c>
      <c r="J478" s="8">
        <v>114830</v>
      </c>
      <c r="K478" s="8">
        <v>5</v>
      </c>
      <c r="L478" s="8">
        <v>8.0299999999999994</v>
      </c>
      <c r="M478" s="8">
        <v>153.68</v>
      </c>
      <c r="N478" s="8" t="s">
        <v>17</v>
      </c>
      <c r="O478" s="8" t="s">
        <v>28</v>
      </c>
      <c r="P478" s="9">
        <v>45181</v>
      </c>
      <c r="Q478" s="8" t="s">
        <v>12</v>
      </c>
      <c r="R478" s="10">
        <v>0</v>
      </c>
    </row>
    <row r="479" spans="1:18" x14ac:dyDescent="0.3">
      <c r="A479" s="7" t="s">
        <v>513</v>
      </c>
      <c r="B479" s="8" t="s">
        <v>24</v>
      </c>
      <c r="C479" s="8">
        <v>47</v>
      </c>
      <c r="D479" s="8" t="s">
        <v>31</v>
      </c>
      <c r="E479" s="8" t="s">
        <v>7</v>
      </c>
      <c r="F479" s="8">
        <v>33982</v>
      </c>
      <c r="G479" s="8" t="s">
        <v>15</v>
      </c>
      <c r="H479" s="8">
        <v>699</v>
      </c>
      <c r="I479" s="8" t="s">
        <v>16</v>
      </c>
      <c r="J479" s="8">
        <v>794503</v>
      </c>
      <c r="K479" s="8">
        <v>20</v>
      </c>
      <c r="L479" s="8">
        <v>13.96</v>
      </c>
      <c r="M479" s="8">
        <v>462.14</v>
      </c>
      <c r="N479" s="8" t="s">
        <v>27</v>
      </c>
      <c r="O479" s="8" t="s">
        <v>22</v>
      </c>
      <c r="P479" s="9">
        <v>45420</v>
      </c>
      <c r="Q479" s="8" t="s">
        <v>29</v>
      </c>
      <c r="R479" s="10">
        <v>1</v>
      </c>
    </row>
    <row r="480" spans="1:18" x14ac:dyDescent="0.3">
      <c r="A480" s="7" t="s">
        <v>514</v>
      </c>
      <c r="B480" s="8" t="s">
        <v>33</v>
      </c>
      <c r="C480" s="8">
        <v>24</v>
      </c>
      <c r="D480" s="8" t="s">
        <v>34</v>
      </c>
      <c r="E480" s="8" t="s">
        <v>21</v>
      </c>
      <c r="F480" s="8">
        <v>133438</v>
      </c>
      <c r="G480" s="8" t="s">
        <v>25</v>
      </c>
      <c r="H480" s="8">
        <v>497</v>
      </c>
      <c r="I480" s="8" t="s">
        <v>9</v>
      </c>
      <c r="J480" s="8">
        <v>1744016</v>
      </c>
      <c r="K480" s="8">
        <v>15</v>
      </c>
      <c r="L480" s="8">
        <v>9.8699999999999992</v>
      </c>
      <c r="M480" s="8">
        <v>956.3</v>
      </c>
      <c r="N480" s="8" t="s">
        <v>17</v>
      </c>
      <c r="O480" s="8" t="s">
        <v>22</v>
      </c>
      <c r="P480" s="9">
        <v>45267</v>
      </c>
      <c r="Q480" s="8" t="s">
        <v>43</v>
      </c>
      <c r="R480" s="10">
        <v>0</v>
      </c>
    </row>
    <row r="481" spans="1:18" x14ac:dyDescent="0.3">
      <c r="A481" s="7" t="s">
        <v>515</v>
      </c>
      <c r="B481" s="8" t="s">
        <v>5</v>
      </c>
      <c r="C481" s="8">
        <v>25</v>
      </c>
      <c r="D481" s="8" t="s">
        <v>34</v>
      </c>
      <c r="E481" s="8" t="s">
        <v>7</v>
      </c>
      <c r="F481" s="8">
        <v>89932</v>
      </c>
      <c r="G481" s="8" t="s">
        <v>8</v>
      </c>
      <c r="H481" s="8">
        <v>625</v>
      </c>
      <c r="I481" s="8" t="s">
        <v>16</v>
      </c>
      <c r="J481" s="8">
        <v>327599</v>
      </c>
      <c r="K481" s="8">
        <v>10</v>
      </c>
      <c r="L481" s="8">
        <v>10.98</v>
      </c>
      <c r="M481" s="8">
        <v>299.75</v>
      </c>
      <c r="N481" s="8" t="s">
        <v>27</v>
      </c>
      <c r="O481" s="8" t="s">
        <v>22</v>
      </c>
      <c r="P481" s="9">
        <v>45449</v>
      </c>
      <c r="Q481" s="8" t="s">
        <v>43</v>
      </c>
      <c r="R481" s="10">
        <v>0</v>
      </c>
    </row>
    <row r="482" spans="1:18" x14ac:dyDescent="0.3">
      <c r="A482" s="7" t="s">
        <v>516</v>
      </c>
      <c r="B482" s="8" t="s">
        <v>33</v>
      </c>
      <c r="C482" s="8">
        <v>25</v>
      </c>
      <c r="D482" s="8" t="s">
        <v>34</v>
      </c>
      <c r="E482" s="8" t="s">
        <v>21</v>
      </c>
      <c r="F482" s="8">
        <v>75524</v>
      </c>
      <c r="G482" s="8" t="s">
        <v>8</v>
      </c>
      <c r="H482" s="8">
        <v>485</v>
      </c>
      <c r="I482" s="8" t="s">
        <v>9</v>
      </c>
      <c r="J482" s="8">
        <v>1165764</v>
      </c>
      <c r="K482" s="8">
        <v>10</v>
      </c>
      <c r="L482" s="8">
        <v>12.1</v>
      </c>
      <c r="M482" s="8">
        <v>1175.48</v>
      </c>
      <c r="N482" s="8" t="s">
        <v>17</v>
      </c>
      <c r="O482" s="8" t="s">
        <v>11</v>
      </c>
      <c r="P482" s="9">
        <v>44752</v>
      </c>
      <c r="Q482" s="8" t="s">
        <v>29</v>
      </c>
      <c r="R482" s="10">
        <v>1</v>
      </c>
    </row>
    <row r="483" spans="1:18" x14ac:dyDescent="0.3">
      <c r="A483" s="7" t="s">
        <v>517</v>
      </c>
      <c r="B483" s="8" t="s">
        <v>52</v>
      </c>
      <c r="C483" s="8">
        <v>57</v>
      </c>
      <c r="D483" s="8" t="s">
        <v>31</v>
      </c>
      <c r="E483" s="8" t="s">
        <v>7</v>
      </c>
      <c r="F483" s="8">
        <v>101804</v>
      </c>
      <c r="G483" s="8" t="s">
        <v>25</v>
      </c>
      <c r="H483" s="8">
        <v>717</v>
      </c>
      <c r="I483" s="8" t="s">
        <v>40</v>
      </c>
      <c r="J483" s="8">
        <v>530460</v>
      </c>
      <c r="K483" s="8">
        <v>10</v>
      </c>
      <c r="L483" s="8">
        <v>10.11</v>
      </c>
      <c r="M483" s="8">
        <v>446.91</v>
      </c>
      <c r="N483" s="8" t="s">
        <v>10</v>
      </c>
      <c r="O483" s="8" t="s">
        <v>18</v>
      </c>
      <c r="P483" s="9">
        <v>45328</v>
      </c>
      <c r="Q483" s="8" t="s">
        <v>43</v>
      </c>
      <c r="R483" s="10">
        <v>0</v>
      </c>
    </row>
    <row r="484" spans="1:18" x14ac:dyDescent="0.3">
      <c r="A484" s="7" t="s">
        <v>518</v>
      </c>
      <c r="B484" s="8" t="s">
        <v>5</v>
      </c>
      <c r="C484" s="8">
        <v>33</v>
      </c>
      <c r="D484" s="8" t="s">
        <v>6</v>
      </c>
      <c r="E484" s="8" t="s">
        <v>21</v>
      </c>
      <c r="F484" s="8">
        <v>141558</v>
      </c>
      <c r="G484" s="8" t="s">
        <v>25</v>
      </c>
      <c r="H484" s="8">
        <v>719</v>
      </c>
      <c r="I484" s="8" t="s">
        <v>40</v>
      </c>
      <c r="J484" s="8">
        <v>1939100</v>
      </c>
      <c r="K484" s="8">
        <v>10</v>
      </c>
      <c r="L484" s="8">
        <v>14.55</v>
      </c>
      <c r="M484" s="8">
        <v>2351.16</v>
      </c>
      <c r="N484" s="8" t="s">
        <v>8</v>
      </c>
      <c r="O484" s="8" t="s">
        <v>18</v>
      </c>
      <c r="P484" s="9">
        <v>44789</v>
      </c>
      <c r="Q484" s="8" t="s">
        <v>12</v>
      </c>
      <c r="R484" s="10">
        <v>0</v>
      </c>
    </row>
    <row r="485" spans="1:18" x14ac:dyDescent="0.3">
      <c r="A485" s="7" t="s">
        <v>519</v>
      </c>
      <c r="B485" s="8" t="s">
        <v>47</v>
      </c>
      <c r="C485" s="8">
        <v>33</v>
      </c>
      <c r="D485" s="8" t="s">
        <v>6</v>
      </c>
      <c r="E485" s="8" t="s">
        <v>21</v>
      </c>
      <c r="F485" s="8">
        <v>96707</v>
      </c>
      <c r="G485" s="8" t="s">
        <v>8</v>
      </c>
      <c r="H485" s="8">
        <v>458</v>
      </c>
      <c r="I485" s="8" t="s">
        <v>9</v>
      </c>
      <c r="J485" s="8">
        <v>436977</v>
      </c>
      <c r="K485" s="8">
        <v>5</v>
      </c>
      <c r="L485" s="8">
        <v>7.54</v>
      </c>
      <c r="M485" s="8">
        <v>549.13</v>
      </c>
      <c r="N485" s="8" t="s">
        <v>42</v>
      </c>
      <c r="O485" s="8" t="s">
        <v>22</v>
      </c>
      <c r="P485" s="9">
        <v>44620</v>
      </c>
      <c r="Q485" s="8" t="s">
        <v>12</v>
      </c>
      <c r="R485" s="10">
        <v>0</v>
      </c>
    </row>
    <row r="486" spans="1:18" x14ac:dyDescent="0.3">
      <c r="A486" s="7" t="s">
        <v>520</v>
      </c>
      <c r="B486" s="8" t="s">
        <v>47</v>
      </c>
      <c r="C486" s="8">
        <v>62</v>
      </c>
      <c r="D486" s="8" t="s">
        <v>31</v>
      </c>
      <c r="E486" s="8" t="s">
        <v>7</v>
      </c>
      <c r="F486" s="8">
        <v>30633</v>
      </c>
      <c r="G486" s="8" t="s">
        <v>15</v>
      </c>
      <c r="H486" s="8">
        <v>643</v>
      </c>
      <c r="I486" s="8" t="s">
        <v>16</v>
      </c>
      <c r="J486" s="8">
        <v>1030777</v>
      </c>
      <c r="K486" s="8">
        <v>5</v>
      </c>
      <c r="L486" s="8">
        <v>13.15</v>
      </c>
      <c r="M486" s="8">
        <v>2259.12</v>
      </c>
      <c r="N486" s="8" t="s">
        <v>10</v>
      </c>
      <c r="O486" s="8" t="s">
        <v>18</v>
      </c>
      <c r="P486" s="9">
        <v>44965</v>
      </c>
      <c r="Q486" s="8" t="s">
        <v>12</v>
      </c>
      <c r="R486" s="10">
        <v>0</v>
      </c>
    </row>
    <row r="487" spans="1:18" x14ac:dyDescent="0.3">
      <c r="A487" s="7" t="s">
        <v>521</v>
      </c>
      <c r="B487" s="8" t="s">
        <v>5</v>
      </c>
      <c r="C487" s="8">
        <v>24</v>
      </c>
      <c r="D487" s="8" t="s">
        <v>34</v>
      </c>
      <c r="E487" s="8" t="s">
        <v>21</v>
      </c>
      <c r="F487" s="8">
        <v>61125</v>
      </c>
      <c r="G487" s="8" t="s">
        <v>8</v>
      </c>
      <c r="H487" s="8">
        <v>733</v>
      </c>
      <c r="I487" s="8" t="s">
        <v>40</v>
      </c>
      <c r="J487" s="8">
        <v>343195</v>
      </c>
      <c r="K487" s="8">
        <v>10</v>
      </c>
      <c r="L487" s="8">
        <v>8.39</v>
      </c>
      <c r="M487" s="8">
        <v>239.95</v>
      </c>
      <c r="N487" s="8" t="s">
        <v>17</v>
      </c>
      <c r="O487" s="8" t="s">
        <v>28</v>
      </c>
      <c r="P487" s="9">
        <v>45190</v>
      </c>
      <c r="Q487" s="8" t="s">
        <v>43</v>
      </c>
      <c r="R487" s="10">
        <v>0</v>
      </c>
    </row>
    <row r="488" spans="1:18" x14ac:dyDescent="0.3">
      <c r="A488" s="7" t="s">
        <v>522</v>
      </c>
      <c r="B488" s="8" t="s">
        <v>52</v>
      </c>
      <c r="C488" s="8">
        <v>55</v>
      </c>
      <c r="D488" s="8" t="s">
        <v>31</v>
      </c>
      <c r="E488" s="8" t="s">
        <v>7</v>
      </c>
      <c r="F488" s="8">
        <v>104305</v>
      </c>
      <c r="G488" s="8" t="s">
        <v>15</v>
      </c>
      <c r="H488" s="8">
        <v>713</v>
      </c>
      <c r="I488" s="8" t="s">
        <v>40</v>
      </c>
      <c r="J488" s="8">
        <v>1215914</v>
      </c>
      <c r="K488" s="8">
        <v>10</v>
      </c>
      <c r="L488" s="8">
        <v>13.2</v>
      </c>
      <c r="M488" s="8">
        <v>1337.51</v>
      </c>
      <c r="N488" s="8" t="s">
        <v>17</v>
      </c>
      <c r="O488" s="8" t="s">
        <v>28</v>
      </c>
      <c r="P488" s="9">
        <v>45153</v>
      </c>
      <c r="Q488" s="8" t="s">
        <v>12</v>
      </c>
      <c r="R488" s="10">
        <v>0</v>
      </c>
    </row>
    <row r="489" spans="1:18" x14ac:dyDescent="0.3">
      <c r="A489" s="7" t="s">
        <v>523</v>
      </c>
      <c r="B489" s="8" t="s">
        <v>36</v>
      </c>
      <c r="C489" s="8">
        <v>48</v>
      </c>
      <c r="D489" s="8" t="s">
        <v>31</v>
      </c>
      <c r="E489" s="8" t="s">
        <v>7</v>
      </c>
      <c r="F489" s="8">
        <v>130962</v>
      </c>
      <c r="G489" s="8" t="s">
        <v>15</v>
      </c>
      <c r="H489" s="8">
        <v>442</v>
      </c>
      <c r="I489" s="8" t="s">
        <v>9</v>
      </c>
      <c r="J489" s="8">
        <v>436403</v>
      </c>
      <c r="K489" s="8">
        <v>5</v>
      </c>
      <c r="L489" s="8">
        <v>7.66</v>
      </c>
      <c r="M489" s="8">
        <v>557.14</v>
      </c>
      <c r="N489" s="8" t="s">
        <v>8</v>
      </c>
      <c r="O489" s="8" t="s">
        <v>28</v>
      </c>
      <c r="P489" s="9">
        <v>45261</v>
      </c>
      <c r="Q489" s="8" t="s">
        <v>12</v>
      </c>
      <c r="R489" s="10">
        <v>0</v>
      </c>
    </row>
    <row r="490" spans="1:18" x14ac:dyDescent="0.3">
      <c r="A490" s="7" t="s">
        <v>524</v>
      </c>
      <c r="B490" s="8" t="s">
        <v>20</v>
      </c>
      <c r="C490" s="8">
        <v>58</v>
      </c>
      <c r="D490" s="8" t="s">
        <v>31</v>
      </c>
      <c r="E490" s="8" t="s">
        <v>7</v>
      </c>
      <c r="F490" s="8">
        <v>91891</v>
      </c>
      <c r="G490" s="8" t="s">
        <v>8</v>
      </c>
      <c r="H490" s="8">
        <v>487</v>
      </c>
      <c r="I490" s="8" t="s">
        <v>9</v>
      </c>
      <c r="J490" s="8">
        <v>1875024</v>
      </c>
      <c r="K490" s="8">
        <v>5</v>
      </c>
      <c r="L490" s="8">
        <v>8.5399999999999991</v>
      </c>
      <c r="M490" s="8">
        <v>2668.78</v>
      </c>
      <c r="N490" s="8" t="s">
        <v>27</v>
      </c>
      <c r="O490" s="8" t="s">
        <v>28</v>
      </c>
      <c r="P490" s="9">
        <v>45225</v>
      </c>
      <c r="Q490" s="8" t="s">
        <v>29</v>
      </c>
      <c r="R490" s="10">
        <v>1</v>
      </c>
    </row>
    <row r="491" spans="1:18" x14ac:dyDescent="0.3">
      <c r="A491" s="7" t="s">
        <v>525</v>
      </c>
      <c r="B491" s="8" t="s">
        <v>5</v>
      </c>
      <c r="C491" s="8">
        <v>65</v>
      </c>
      <c r="D491" s="8" t="s">
        <v>31</v>
      </c>
      <c r="E491" s="8" t="s">
        <v>7</v>
      </c>
      <c r="F491" s="8">
        <v>90613</v>
      </c>
      <c r="G491" s="8" t="s">
        <v>8</v>
      </c>
      <c r="H491" s="8">
        <v>555</v>
      </c>
      <c r="I491" s="8" t="s">
        <v>16</v>
      </c>
      <c r="J491" s="8">
        <v>1568901</v>
      </c>
      <c r="K491" s="8">
        <v>5</v>
      </c>
      <c r="L491" s="8">
        <v>7.65</v>
      </c>
      <c r="M491" s="8">
        <v>2000.35</v>
      </c>
      <c r="N491" s="8" t="s">
        <v>10</v>
      </c>
      <c r="O491" s="8" t="s">
        <v>28</v>
      </c>
      <c r="P491" s="9">
        <v>44845</v>
      </c>
      <c r="Q491" s="8" t="s">
        <v>29</v>
      </c>
      <c r="R491" s="10">
        <v>1</v>
      </c>
    </row>
    <row r="492" spans="1:18" x14ac:dyDescent="0.3">
      <c r="A492" s="7" t="s">
        <v>526</v>
      </c>
      <c r="B492" s="8" t="s">
        <v>33</v>
      </c>
      <c r="C492" s="8">
        <v>61</v>
      </c>
      <c r="D492" s="8" t="s">
        <v>31</v>
      </c>
      <c r="E492" s="8" t="s">
        <v>21</v>
      </c>
      <c r="F492" s="8">
        <v>129771</v>
      </c>
      <c r="G492" s="8" t="s">
        <v>8</v>
      </c>
      <c r="H492" s="8">
        <v>770</v>
      </c>
      <c r="I492" s="8" t="s">
        <v>40</v>
      </c>
      <c r="J492" s="8">
        <v>352235</v>
      </c>
      <c r="K492" s="8">
        <v>15</v>
      </c>
      <c r="L492" s="8">
        <v>9.98</v>
      </c>
      <c r="M492" s="8">
        <v>195.29</v>
      </c>
      <c r="N492" s="8" t="s">
        <v>8</v>
      </c>
      <c r="O492" s="8" t="s">
        <v>28</v>
      </c>
      <c r="P492" s="9">
        <v>44915</v>
      </c>
      <c r="Q492" s="8" t="s">
        <v>12</v>
      </c>
      <c r="R492" s="10">
        <v>0</v>
      </c>
    </row>
    <row r="493" spans="1:18" x14ac:dyDescent="0.3">
      <c r="A493" s="7" t="s">
        <v>527</v>
      </c>
      <c r="B493" s="8" t="s">
        <v>20</v>
      </c>
      <c r="C493" s="8">
        <v>53</v>
      </c>
      <c r="D493" s="8" t="s">
        <v>31</v>
      </c>
      <c r="E493" s="8" t="s">
        <v>7</v>
      </c>
      <c r="F493" s="8">
        <v>126264</v>
      </c>
      <c r="G493" s="8" t="s">
        <v>15</v>
      </c>
      <c r="H493" s="8">
        <v>351</v>
      </c>
      <c r="I493" s="8" t="s">
        <v>9</v>
      </c>
      <c r="J493" s="8">
        <v>770619</v>
      </c>
      <c r="K493" s="8">
        <v>20</v>
      </c>
      <c r="L493" s="8">
        <v>10.89</v>
      </c>
      <c r="M493" s="8">
        <v>349.67</v>
      </c>
      <c r="N493" s="8" t="s">
        <v>42</v>
      </c>
      <c r="O493" s="8" t="s">
        <v>22</v>
      </c>
      <c r="P493" s="9">
        <v>44838</v>
      </c>
      <c r="Q493" s="8" t="s">
        <v>29</v>
      </c>
      <c r="R493" s="10">
        <v>1</v>
      </c>
    </row>
    <row r="494" spans="1:18" x14ac:dyDescent="0.3">
      <c r="A494" s="7" t="s">
        <v>528</v>
      </c>
      <c r="B494" s="8" t="s">
        <v>14</v>
      </c>
      <c r="C494" s="8">
        <v>30</v>
      </c>
      <c r="D494" s="8" t="s">
        <v>6</v>
      </c>
      <c r="E494" s="8" t="s">
        <v>7</v>
      </c>
      <c r="F494" s="8">
        <v>139485</v>
      </c>
      <c r="G494" s="8" t="s">
        <v>15</v>
      </c>
      <c r="H494" s="8">
        <v>540</v>
      </c>
      <c r="I494" s="8" t="s">
        <v>9</v>
      </c>
      <c r="J494" s="8">
        <v>887234</v>
      </c>
      <c r="K494" s="8">
        <v>15</v>
      </c>
      <c r="L494" s="8">
        <v>12.26</v>
      </c>
      <c r="M494" s="8">
        <v>604.29999999999995</v>
      </c>
      <c r="N494" s="8" t="s">
        <v>10</v>
      </c>
      <c r="O494" s="8" t="s">
        <v>28</v>
      </c>
      <c r="P494" s="9">
        <v>44665</v>
      </c>
      <c r="Q494" s="8" t="s">
        <v>12</v>
      </c>
      <c r="R494" s="10">
        <v>0</v>
      </c>
    </row>
    <row r="495" spans="1:18" x14ac:dyDescent="0.3">
      <c r="A495" s="7" t="s">
        <v>529</v>
      </c>
      <c r="B495" s="8" t="s">
        <v>20</v>
      </c>
      <c r="C495" s="8">
        <v>35</v>
      </c>
      <c r="D495" s="8" t="s">
        <v>6</v>
      </c>
      <c r="E495" s="8" t="s">
        <v>7</v>
      </c>
      <c r="F495" s="8">
        <v>103832</v>
      </c>
      <c r="G495" s="8" t="s">
        <v>15</v>
      </c>
      <c r="H495" s="8">
        <v>300</v>
      </c>
      <c r="I495" s="8" t="s">
        <v>9</v>
      </c>
      <c r="J495" s="8">
        <v>1289831</v>
      </c>
      <c r="K495" s="8">
        <v>10</v>
      </c>
      <c r="L495" s="8">
        <v>14.69</v>
      </c>
      <c r="M495" s="8">
        <v>1578.97</v>
      </c>
      <c r="N495" s="8" t="s">
        <v>42</v>
      </c>
      <c r="O495" s="8" t="s">
        <v>11</v>
      </c>
      <c r="P495" s="9">
        <v>45432</v>
      </c>
      <c r="Q495" s="8" t="s">
        <v>29</v>
      </c>
      <c r="R495" s="10">
        <v>1</v>
      </c>
    </row>
    <row r="496" spans="1:18" x14ac:dyDescent="0.3">
      <c r="A496" s="7" t="s">
        <v>530</v>
      </c>
      <c r="B496" s="8" t="s">
        <v>47</v>
      </c>
      <c r="C496" s="8">
        <v>38</v>
      </c>
      <c r="D496" s="8" t="s">
        <v>6</v>
      </c>
      <c r="E496" s="8" t="s">
        <v>7</v>
      </c>
      <c r="F496" s="8">
        <v>99711</v>
      </c>
      <c r="G496" s="8" t="s">
        <v>25</v>
      </c>
      <c r="H496" s="8">
        <v>509</v>
      </c>
      <c r="I496" s="8" t="s">
        <v>9</v>
      </c>
      <c r="J496" s="8">
        <v>374046</v>
      </c>
      <c r="K496" s="8">
        <v>20</v>
      </c>
      <c r="L496" s="8">
        <v>8.5500000000000007</v>
      </c>
      <c r="M496" s="8">
        <v>133.25</v>
      </c>
      <c r="N496" s="8" t="s">
        <v>27</v>
      </c>
      <c r="O496" s="8" t="s">
        <v>22</v>
      </c>
      <c r="P496" s="9">
        <v>44883</v>
      </c>
      <c r="Q496" s="8" t="s">
        <v>12</v>
      </c>
      <c r="R496" s="10">
        <v>0</v>
      </c>
    </row>
    <row r="497" spans="1:18" x14ac:dyDescent="0.3">
      <c r="A497" s="7" t="s">
        <v>531</v>
      </c>
      <c r="B497" s="8" t="s">
        <v>36</v>
      </c>
      <c r="C497" s="8">
        <v>46</v>
      </c>
      <c r="D497" s="8" t="s">
        <v>31</v>
      </c>
      <c r="E497" s="8" t="s">
        <v>21</v>
      </c>
      <c r="F497" s="8">
        <v>40569</v>
      </c>
      <c r="G497" s="8" t="s">
        <v>25</v>
      </c>
      <c r="H497" s="8">
        <v>776</v>
      </c>
      <c r="I497" s="8" t="s">
        <v>40</v>
      </c>
      <c r="J497" s="8">
        <v>1880899</v>
      </c>
      <c r="K497" s="8">
        <v>15</v>
      </c>
      <c r="L497" s="8">
        <v>9.02</v>
      </c>
      <c r="M497" s="8">
        <v>942.54</v>
      </c>
      <c r="N497" s="8" t="s">
        <v>8</v>
      </c>
      <c r="O497" s="8" t="s">
        <v>22</v>
      </c>
      <c r="P497" s="9">
        <v>45032</v>
      </c>
      <c r="Q497" s="8" t="s">
        <v>12</v>
      </c>
      <c r="R497" s="10">
        <v>0</v>
      </c>
    </row>
    <row r="498" spans="1:18" x14ac:dyDescent="0.3">
      <c r="A498" s="7" t="s">
        <v>532</v>
      </c>
      <c r="B498" s="8" t="s">
        <v>24</v>
      </c>
      <c r="C498" s="8">
        <v>64</v>
      </c>
      <c r="D498" s="8" t="s">
        <v>31</v>
      </c>
      <c r="E498" s="8" t="s">
        <v>7</v>
      </c>
      <c r="F498" s="8">
        <v>75962</v>
      </c>
      <c r="G498" s="8" t="s">
        <v>8</v>
      </c>
      <c r="H498" s="8">
        <v>487</v>
      </c>
      <c r="I498" s="8" t="s">
        <v>9</v>
      </c>
      <c r="J498" s="8">
        <v>1022844</v>
      </c>
      <c r="K498" s="8">
        <v>15</v>
      </c>
      <c r="L498" s="8">
        <v>7.29</v>
      </c>
      <c r="M498" s="8">
        <v>414.25</v>
      </c>
      <c r="N498" s="8" t="s">
        <v>42</v>
      </c>
      <c r="O498" s="8" t="s">
        <v>11</v>
      </c>
      <c r="P498" s="9">
        <v>45006</v>
      </c>
      <c r="Q498" s="8" t="s">
        <v>12</v>
      </c>
      <c r="R498" s="10">
        <v>0</v>
      </c>
    </row>
    <row r="499" spans="1:18" x14ac:dyDescent="0.3">
      <c r="A499" s="7" t="s">
        <v>533</v>
      </c>
      <c r="B499" s="8" t="s">
        <v>33</v>
      </c>
      <c r="C499" s="8">
        <v>54</v>
      </c>
      <c r="D499" s="8" t="s">
        <v>31</v>
      </c>
      <c r="E499" s="8" t="s">
        <v>21</v>
      </c>
      <c r="F499" s="8">
        <v>117203</v>
      </c>
      <c r="G499" s="8" t="s">
        <v>15</v>
      </c>
      <c r="H499" s="8">
        <v>489</v>
      </c>
      <c r="I499" s="8" t="s">
        <v>9</v>
      </c>
      <c r="J499" s="8">
        <v>1908064</v>
      </c>
      <c r="K499" s="8">
        <v>10</v>
      </c>
      <c r="L499" s="8">
        <v>11.53</v>
      </c>
      <c r="M499" s="8">
        <v>1833.33</v>
      </c>
      <c r="N499" s="8" t="s">
        <v>17</v>
      </c>
      <c r="O499" s="8" t="s">
        <v>11</v>
      </c>
      <c r="P499" s="9">
        <v>44730</v>
      </c>
      <c r="Q499" s="8" t="s">
        <v>12</v>
      </c>
      <c r="R499" s="10">
        <v>0</v>
      </c>
    </row>
    <row r="500" spans="1:18" x14ac:dyDescent="0.3">
      <c r="A500" s="7" t="s">
        <v>534</v>
      </c>
      <c r="B500" s="8" t="s">
        <v>33</v>
      </c>
      <c r="C500" s="8">
        <v>24</v>
      </c>
      <c r="D500" s="8" t="s">
        <v>34</v>
      </c>
      <c r="E500" s="8" t="s">
        <v>7</v>
      </c>
      <c r="F500" s="8">
        <v>87092</v>
      </c>
      <c r="G500" s="8" t="s">
        <v>15</v>
      </c>
      <c r="H500" s="8">
        <v>659</v>
      </c>
      <c r="I500" s="8" t="s">
        <v>16</v>
      </c>
      <c r="J500" s="8">
        <v>748004</v>
      </c>
      <c r="K500" s="8">
        <v>15</v>
      </c>
      <c r="L500" s="8">
        <v>13.09</v>
      </c>
      <c r="M500" s="8">
        <v>543.97</v>
      </c>
      <c r="N500" s="8" t="s">
        <v>27</v>
      </c>
      <c r="O500" s="8" t="s">
        <v>18</v>
      </c>
      <c r="P500" s="9">
        <v>44792</v>
      </c>
      <c r="Q500" s="8" t="s">
        <v>12</v>
      </c>
      <c r="R500" s="10">
        <v>0</v>
      </c>
    </row>
    <row r="501" spans="1:18" x14ac:dyDescent="0.3">
      <c r="A501" s="11" t="s">
        <v>535</v>
      </c>
      <c r="B501" s="12" t="s">
        <v>14</v>
      </c>
      <c r="C501" s="12">
        <v>24</v>
      </c>
      <c r="D501" s="12" t="s">
        <v>34</v>
      </c>
      <c r="E501" s="12" t="s">
        <v>7</v>
      </c>
      <c r="F501" s="12">
        <v>57975</v>
      </c>
      <c r="G501" s="12" t="s">
        <v>25</v>
      </c>
      <c r="H501" s="12">
        <v>336</v>
      </c>
      <c r="I501" s="12" t="s">
        <v>9</v>
      </c>
      <c r="J501" s="12">
        <v>1825128</v>
      </c>
      <c r="K501" s="12">
        <v>20</v>
      </c>
      <c r="L501" s="12">
        <v>8.52</v>
      </c>
      <c r="M501" s="12">
        <v>647.91999999999996</v>
      </c>
      <c r="N501" s="12" t="s">
        <v>42</v>
      </c>
      <c r="O501" s="12" t="s">
        <v>11</v>
      </c>
      <c r="P501" s="13">
        <v>44869</v>
      </c>
      <c r="Q501" s="12" t="s">
        <v>12</v>
      </c>
      <c r="R501" s="14">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bachhav</dc:creator>
  <cp:lastModifiedBy>neha bachhav</cp:lastModifiedBy>
  <dcterms:created xsi:type="dcterms:W3CDTF">2026-01-29T15:12:02Z</dcterms:created>
  <dcterms:modified xsi:type="dcterms:W3CDTF">2026-02-23T13:04:21Z</dcterms:modified>
</cp:coreProperties>
</file>